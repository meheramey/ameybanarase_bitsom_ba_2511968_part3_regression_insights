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Bitsom Classes\Assignment\Final Assignment\"/>
    </mc:Choice>
  </mc:AlternateContent>
  <xr:revisionPtr revIDLastSave="0" documentId="13_ncr:1_{5FF140B7-D7B2-4FFD-8ECC-4DAA3BFE95AA}" xr6:coauthVersionLast="47" xr6:coauthVersionMax="47" xr10:uidLastSave="{00000000-0000-0000-0000-000000000000}"/>
  <bookViews>
    <workbookView xWindow="-108" yWindow="-108" windowWidth="23256" windowHeight="12456" firstSheet="6" activeTab="8" xr2:uid="{00000000-000D-0000-FFFF-FFFF00000000}"/>
  </bookViews>
  <sheets>
    <sheet name="store_performance" sheetId="1" r:id="rId1"/>
    <sheet name="data_dictionary" sheetId="2" r:id="rId2"/>
    <sheet name="original_dataset" sheetId="3" r:id="rId3"/>
    <sheet name="cleaned_data" sheetId="4" r:id="rId4"/>
    <sheet name="Dummy Variable Creation" sheetId="7" r:id="rId5"/>
    <sheet name="simple_regression_outputs" sheetId="10" r:id="rId6"/>
    <sheet name="multiple_regression_outputs" sheetId="12" r:id="rId7"/>
    <sheet name="Prediction and residual calcula" sheetId="13" r:id="rId8"/>
    <sheet name="Model comparison" sheetId="16" r:id="rId9"/>
  </sheets>
  <definedNames>
    <definedName name="_xlnm._FilterDatabase" localSheetId="3" hidden="1">cleaned_data!$A$1:$L$307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7" l="1"/>
  <c r="N3" i="7"/>
  <c r="O3" i="7"/>
  <c r="M4" i="7"/>
  <c r="N4" i="7"/>
  <c r="O4" i="7"/>
  <c r="M5" i="7"/>
  <c r="N5" i="7"/>
  <c r="O5" i="7"/>
  <c r="M6" i="7"/>
  <c r="N6" i="7"/>
  <c r="O6" i="7"/>
  <c r="M7" i="7"/>
  <c r="N7" i="7"/>
  <c r="O7" i="7"/>
  <c r="M8" i="7"/>
  <c r="N8" i="7"/>
  <c r="O8" i="7"/>
  <c r="M9" i="7"/>
  <c r="N9" i="7"/>
  <c r="O9" i="7"/>
  <c r="M10" i="7"/>
  <c r="N10" i="7"/>
  <c r="O10" i="7"/>
  <c r="M11" i="7"/>
  <c r="N11" i="7"/>
  <c r="O11" i="7"/>
  <c r="M12" i="7"/>
  <c r="N12" i="7"/>
  <c r="O12" i="7"/>
  <c r="M13" i="7"/>
  <c r="N13" i="7"/>
  <c r="O13" i="7"/>
  <c r="M14" i="7"/>
  <c r="N14" i="7"/>
  <c r="O14" i="7"/>
  <c r="M15" i="7"/>
  <c r="N15" i="7"/>
  <c r="O15" i="7"/>
  <c r="M16" i="7"/>
  <c r="N16" i="7"/>
  <c r="O16" i="7"/>
  <c r="M17" i="7"/>
  <c r="N17" i="7"/>
  <c r="O17" i="7"/>
  <c r="M18" i="7"/>
  <c r="N18" i="7"/>
  <c r="O18" i="7"/>
  <c r="M19" i="7"/>
  <c r="N19" i="7"/>
  <c r="O19" i="7"/>
  <c r="M20" i="7"/>
  <c r="N20" i="7"/>
  <c r="O20" i="7"/>
  <c r="M21" i="7"/>
  <c r="N21" i="7"/>
  <c r="O21" i="7"/>
  <c r="M22" i="7"/>
  <c r="N22" i="7"/>
  <c r="O22" i="7"/>
  <c r="M23" i="7"/>
  <c r="N23" i="7"/>
  <c r="O23" i="7"/>
  <c r="M24" i="7"/>
  <c r="N24" i="7"/>
  <c r="O24" i="7"/>
  <c r="M25" i="7"/>
  <c r="N25" i="7"/>
  <c r="O25" i="7"/>
  <c r="M26" i="7"/>
  <c r="N26" i="7"/>
  <c r="O26" i="7"/>
  <c r="M27" i="7"/>
  <c r="N27" i="7"/>
  <c r="O27" i="7"/>
  <c r="M28" i="7"/>
  <c r="N28" i="7"/>
  <c r="O28" i="7"/>
  <c r="M29" i="7"/>
  <c r="N29" i="7"/>
  <c r="O29" i="7"/>
  <c r="M30" i="7"/>
  <c r="N30" i="7"/>
  <c r="O30" i="7"/>
  <c r="M31" i="7"/>
  <c r="N31" i="7"/>
  <c r="O31" i="7"/>
  <c r="M32" i="7"/>
  <c r="N32" i="7"/>
  <c r="O32" i="7"/>
  <c r="M33" i="7"/>
  <c r="N33" i="7"/>
  <c r="O33" i="7"/>
  <c r="M34" i="7"/>
  <c r="N34" i="7"/>
  <c r="O34" i="7"/>
  <c r="M35" i="7"/>
  <c r="N35" i="7"/>
  <c r="O35" i="7"/>
  <c r="M36" i="7"/>
  <c r="N36" i="7"/>
  <c r="O36" i="7"/>
  <c r="M37" i="7"/>
  <c r="N37" i="7"/>
  <c r="O37" i="7"/>
  <c r="M38" i="7"/>
  <c r="N38" i="7"/>
  <c r="O38" i="7"/>
  <c r="M39" i="7"/>
  <c r="N39" i="7"/>
  <c r="O39" i="7"/>
  <c r="M40" i="7"/>
  <c r="N40" i="7"/>
  <c r="O40" i="7"/>
  <c r="M41" i="7"/>
  <c r="N41" i="7"/>
  <c r="O41" i="7"/>
  <c r="M42" i="7"/>
  <c r="N42" i="7"/>
  <c r="O42" i="7"/>
  <c r="M43" i="7"/>
  <c r="N43" i="7"/>
  <c r="O43" i="7"/>
  <c r="M44" i="7"/>
  <c r="N44" i="7"/>
  <c r="O44" i="7"/>
  <c r="M45" i="7"/>
  <c r="N45" i="7"/>
  <c r="O45" i="7"/>
  <c r="M46" i="7"/>
  <c r="N46" i="7"/>
  <c r="O46" i="7"/>
  <c r="M47" i="7"/>
  <c r="N47" i="7"/>
  <c r="O47" i="7"/>
  <c r="M48" i="7"/>
  <c r="N48" i="7"/>
  <c r="O48" i="7"/>
  <c r="M49" i="7"/>
  <c r="N49" i="7"/>
  <c r="O49" i="7"/>
  <c r="M50" i="7"/>
  <c r="N50" i="7"/>
  <c r="O50" i="7"/>
  <c r="M51" i="7"/>
  <c r="N51" i="7"/>
  <c r="O51" i="7"/>
  <c r="M52" i="7"/>
  <c r="N52" i="7"/>
  <c r="O52" i="7"/>
  <c r="M53" i="7"/>
  <c r="N53" i="7"/>
  <c r="O53" i="7"/>
  <c r="M54" i="7"/>
  <c r="N54" i="7"/>
  <c r="O54" i="7"/>
  <c r="M55" i="7"/>
  <c r="N55" i="7"/>
  <c r="O55" i="7"/>
  <c r="M56" i="7"/>
  <c r="N56" i="7"/>
  <c r="O56" i="7"/>
  <c r="M57" i="7"/>
  <c r="N57" i="7"/>
  <c r="O57" i="7"/>
  <c r="M58" i="7"/>
  <c r="N58" i="7"/>
  <c r="O58" i="7"/>
  <c r="M59" i="7"/>
  <c r="N59" i="7"/>
  <c r="O59" i="7"/>
  <c r="M60" i="7"/>
  <c r="N60" i="7"/>
  <c r="O60" i="7"/>
  <c r="M61" i="7"/>
  <c r="N61" i="7"/>
  <c r="O61" i="7"/>
  <c r="M62" i="7"/>
  <c r="N62" i="7"/>
  <c r="O62" i="7"/>
  <c r="M63" i="7"/>
  <c r="N63" i="7"/>
  <c r="O63" i="7"/>
  <c r="M64" i="7"/>
  <c r="N64" i="7"/>
  <c r="O64" i="7"/>
  <c r="M65" i="7"/>
  <c r="N65" i="7"/>
  <c r="O65" i="7"/>
  <c r="M66" i="7"/>
  <c r="N66" i="7"/>
  <c r="O66" i="7"/>
  <c r="M67" i="7"/>
  <c r="N67" i="7"/>
  <c r="O67" i="7"/>
  <c r="M68" i="7"/>
  <c r="N68" i="7"/>
  <c r="O68" i="7"/>
  <c r="M69" i="7"/>
  <c r="N69" i="7"/>
  <c r="O69" i="7"/>
  <c r="M70" i="7"/>
  <c r="N70" i="7"/>
  <c r="O70" i="7"/>
  <c r="M71" i="7"/>
  <c r="N71" i="7"/>
  <c r="O71" i="7"/>
  <c r="M72" i="7"/>
  <c r="N72" i="7"/>
  <c r="O72" i="7"/>
  <c r="M73" i="7"/>
  <c r="N73" i="7"/>
  <c r="O73" i="7"/>
  <c r="M74" i="7"/>
  <c r="N74" i="7"/>
  <c r="O74" i="7"/>
  <c r="M75" i="7"/>
  <c r="N75" i="7"/>
  <c r="O75" i="7"/>
  <c r="M76" i="7"/>
  <c r="N76" i="7"/>
  <c r="O76" i="7"/>
  <c r="M77" i="7"/>
  <c r="N77" i="7"/>
  <c r="O77" i="7"/>
  <c r="M78" i="7"/>
  <c r="N78" i="7"/>
  <c r="O78" i="7"/>
  <c r="M79" i="7"/>
  <c r="N79" i="7"/>
  <c r="O79" i="7"/>
  <c r="M80" i="7"/>
  <c r="N80" i="7"/>
  <c r="O80" i="7"/>
  <c r="M81" i="7"/>
  <c r="N81" i="7"/>
  <c r="O81" i="7"/>
  <c r="M82" i="7"/>
  <c r="N82" i="7"/>
  <c r="O82" i="7"/>
  <c r="M83" i="7"/>
  <c r="N83" i="7"/>
  <c r="O83" i="7"/>
  <c r="M84" i="7"/>
  <c r="N84" i="7"/>
  <c r="O84" i="7"/>
  <c r="M85" i="7"/>
  <c r="N85" i="7"/>
  <c r="O85" i="7"/>
  <c r="M86" i="7"/>
  <c r="N86" i="7"/>
  <c r="O86" i="7"/>
  <c r="M87" i="7"/>
  <c r="N87" i="7"/>
  <c r="O87" i="7"/>
  <c r="M88" i="7"/>
  <c r="N88" i="7"/>
  <c r="O88" i="7"/>
  <c r="M89" i="7"/>
  <c r="N89" i="7"/>
  <c r="O89" i="7"/>
  <c r="M90" i="7"/>
  <c r="N90" i="7"/>
  <c r="O90" i="7"/>
  <c r="M91" i="7"/>
  <c r="N91" i="7"/>
  <c r="O91" i="7"/>
  <c r="M92" i="7"/>
  <c r="N92" i="7"/>
  <c r="O92" i="7"/>
  <c r="M93" i="7"/>
  <c r="N93" i="7"/>
  <c r="O93" i="7"/>
  <c r="M94" i="7"/>
  <c r="N94" i="7"/>
  <c r="O94" i="7"/>
  <c r="M95" i="7"/>
  <c r="N95" i="7"/>
  <c r="O95" i="7"/>
  <c r="M96" i="7"/>
  <c r="N96" i="7"/>
  <c r="O96" i="7"/>
  <c r="M97" i="7"/>
  <c r="N97" i="7"/>
  <c r="O97" i="7"/>
  <c r="M98" i="7"/>
  <c r="N98" i="7"/>
  <c r="O98" i="7"/>
  <c r="M99" i="7"/>
  <c r="N99" i="7"/>
  <c r="O99" i="7"/>
  <c r="M100" i="7"/>
  <c r="N100" i="7"/>
  <c r="O100" i="7"/>
  <c r="M101" i="7"/>
  <c r="N101" i="7"/>
  <c r="O101" i="7"/>
  <c r="M102" i="7"/>
  <c r="N102" i="7"/>
  <c r="O102" i="7"/>
  <c r="M103" i="7"/>
  <c r="N103" i="7"/>
  <c r="O103" i="7"/>
  <c r="M104" i="7"/>
  <c r="N104" i="7"/>
  <c r="O104" i="7"/>
  <c r="M105" i="7"/>
  <c r="N105" i="7"/>
  <c r="O105" i="7"/>
  <c r="M106" i="7"/>
  <c r="N106" i="7"/>
  <c r="O106" i="7"/>
  <c r="M107" i="7"/>
  <c r="N107" i="7"/>
  <c r="O107" i="7"/>
  <c r="M108" i="7"/>
  <c r="N108" i="7"/>
  <c r="O108" i="7"/>
  <c r="M109" i="7"/>
  <c r="N109" i="7"/>
  <c r="O109" i="7"/>
  <c r="M110" i="7"/>
  <c r="N110" i="7"/>
  <c r="O110" i="7"/>
  <c r="M111" i="7"/>
  <c r="N111" i="7"/>
  <c r="O111" i="7"/>
  <c r="M112" i="7"/>
  <c r="N112" i="7"/>
  <c r="O112" i="7"/>
  <c r="M113" i="7"/>
  <c r="N113" i="7"/>
  <c r="O113" i="7"/>
  <c r="M114" i="7"/>
  <c r="N114" i="7"/>
  <c r="O114" i="7"/>
  <c r="M115" i="7"/>
  <c r="N115" i="7"/>
  <c r="O115" i="7"/>
  <c r="M116" i="7"/>
  <c r="N116" i="7"/>
  <c r="O116" i="7"/>
  <c r="M117" i="7"/>
  <c r="N117" i="7"/>
  <c r="O117" i="7"/>
  <c r="M118" i="7"/>
  <c r="N118" i="7"/>
  <c r="O118" i="7"/>
  <c r="M119" i="7"/>
  <c r="N119" i="7"/>
  <c r="O119" i="7"/>
  <c r="M120" i="7"/>
  <c r="N120" i="7"/>
  <c r="O120" i="7"/>
  <c r="M121" i="7"/>
  <c r="N121" i="7"/>
  <c r="O121" i="7"/>
  <c r="M122" i="7"/>
  <c r="N122" i="7"/>
  <c r="O122" i="7"/>
  <c r="M123" i="7"/>
  <c r="N123" i="7"/>
  <c r="O123" i="7"/>
  <c r="M124" i="7"/>
  <c r="N124" i="7"/>
  <c r="O124" i="7"/>
  <c r="M125" i="7"/>
  <c r="N125" i="7"/>
  <c r="O125" i="7"/>
  <c r="M126" i="7"/>
  <c r="N126" i="7"/>
  <c r="O126" i="7"/>
  <c r="M127" i="7"/>
  <c r="N127" i="7"/>
  <c r="O127" i="7"/>
  <c r="M128" i="7"/>
  <c r="N128" i="7"/>
  <c r="O128" i="7"/>
  <c r="M129" i="7"/>
  <c r="N129" i="7"/>
  <c r="O129" i="7"/>
  <c r="M130" i="7"/>
  <c r="N130" i="7"/>
  <c r="O130" i="7"/>
  <c r="M131" i="7"/>
  <c r="N131" i="7"/>
  <c r="O131" i="7"/>
  <c r="M132" i="7"/>
  <c r="N132" i="7"/>
  <c r="O132" i="7"/>
  <c r="M133" i="7"/>
  <c r="N133" i="7"/>
  <c r="O133" i="7"/>
  <c r="M134" i="7"/>
  <c r="N134" i="7"/>
  <c r="O134" i="7"/>
  <c r="M135" i="7"/>
  <c r="N135" i="7"/>
  <c r="O135" i="7"/>
  <c r="M136" i="7"/>
  <c r="N136" i="7"/>
  <c r="O136" i="7"/>
  <c r="M137" i="7"/>
  <c r="N137" i="7"/>
  <c r="O137" i="7"/>
  <c r="M138" i="7"/>
  <c r="N138" i="7"/>
  <c r="O138" i="7"/>
  <c r="M139" i="7"/>
  <c r="N139" i="7"/>
  <c r="O139" i="7"/>
  <c r="M140" i="7"/>
  <c r="N140" i="7"/>
  <c r="O140" i="7"/>
  <c r="M141" i="7"/>
  <c r="N141" i="7"/>
  <c r="O141" i="7"/>
  <c r="M142" i="7"/>
  <c r="N142" i="7"/>
  <c r="O142" i="7"/>
  <c r="M143" i="7"/>
  <c r="N143" i="7"/>
  <c r="O143" i="7"/>
  <c r="M144" i="7"/>
  <c r="N144" i="7"/>
  <c r="O144" i="7"/>
  <c r="M145" i="7"/>
  <c r="N145" i="7"/>
  <c r="O145" i="7"/>
  <c r="M146" i="7"/>
  <c r="N146" i="7"/>
  <c r="O146" i="7"/>
  <c r="M147" i="7"/>
  <c r="N147" i="7"/>
  <c r="O147" i="7"/>
  <c r="M148" i="7"/>
  <c r="N148" i="7"/>
  <c r="O148" i="7"/>
  <c r="M149" i="7"/>
  <c r="N149" i="7"/>
  <c r="O149" i="7"/>
  <c r="M150" i="7"/>
  <c r="N150" i="7"/>
  <c r="O150" i="7"/>
  <c r="M151" i="7"/>
  <c r="N151" i="7"/>
  <c r="O151" i="7"/>
  <c r="M152" i="7"/>
  <c r="N152" i="7"/>
  <c r="O152" i="7"/>
  <c r="M153" i="7"/>
  <c r="N153" i="7"/>
  <c r="O153" i="7"/>
  <c r="M154" i="7"/>
  <c r="N154" i="7"/>
  <c r="O154" i="7"/>
  <c r="M155" i="7"/>
  <c r="N155" i="7"/>
  <c r="O155" i="7"/>
  <c r="M156" i="7"/>
  <c r="N156" i="7"/>
  <c r="O156" i="7"/>
  <c r="M157" i="7"/>
  <c r="N157" i="7"/>
  <c r="O157" i="7"/>
  <c r="M158" i="7"/>
  <c r="N158" i="7"/>
  <c r="O158" i="7"/>
  <c r="M159" i="7"/>
  <c r="N159" i="7"/>
  <c r="O159" i="7"/>
  <c r="M160" i="7"/>
  <c r="N160" i="7"/>
  <c r="O160" i="7"/>
  <c r="M161" i="7"/>
  <c r="N161" i="7"/>
  <c r="O161" i="7"/>
  <c r="M162" i="7"/>
  <c r="N162" i="7"/>
  <c r="O162" i="7"/>
  <c r="M163" i="7"/>
  <c r="N163" i="7"/>
  <c r="O163" i="7"/>
  <c r="M164" i="7"/>
  <c r="N164" i="7"/>
  <c r="O164" i="7"/>
  <c r="M165" i="7"/>
  <c r="N165" i="7"/>
  <c r="O165" i="7"/>
  <c r="M166" i="7"/>
  <c r="N166" i="7"/>
  <c r="O166" i="7"/>
  <c r="M167" i="7"/>
  <c r="N167" i="7"/>
  <c r="O167" i="7"/>
  <c r="M168" i="7"/>
  <c r="N168" i="7"/>
  <c r="O168" i="7"/>
  <c r="M169" i="7"/>
  <c r="N169" i="7"/>
  <c r="O169" i="7"/>
  <c r="M170" i="7"/>
  <c r="N170" i="7"/>
  <c r="O170" i="7"/>
  <c r="M171" i="7"/>
  <c r="N171" i="7"/>
  <c r="O171" i="7"/>
  <c r="M172" i="7"/>
  <c r="N172" i="7"/>
  <c r="O172" i="7"/>
  <c r="M173" i="7"/>
  <c r="N173" i="7"/>
  <c r="O173" i="7"/>
  <c r="M174" i="7"/>
  <c r="N174" i="7"/>
  <c r="O174" i="7"/>
  <c r="M175" i="7"/>
  <c r="N175" i="7"/>
  <c r="O175" i="7"/>
  <c r="M176" i="7"/>
  <c r="N176" i="7"/>
  <c r="O176" i="7"/>
  <c r="M177" i="7"/>
  <c r="N177" i="7"/>
  <c r="O177" i="7"/>
  <c r="M178" i="7"/>
  <c r="N178" i="7"/>
  <c r="O178" i="7"/>
  <c r="M179" i="7"/>
  <c r="N179" i="7"/>
  <c r="O179" i="7"/>
  <c r="M180" i="7"/>
  <c r="N180" i="7"/>
  <c r="O180" i="7"/>
  <c r="M181" i="7"/>
  <c r="N181" i="7"/>
  <c r="O181" i="7"/>
  <c r="M182" i="7"/>
  <c r="N182" i="7"/>
  <c r="O182" i="7"/>
  <c r="M183" i="7"/>
  <c r="N183" i="7"/>
  <c r="O183" i="7"/>
  <c r="M184" i="7"/>
  <c r="N184" i="7"/>
  <c r="O184" i="7"/>
  <c r="M185" i="7"/>
  <c r="N185" i="7"/>
  <c r="O185" i="7"/>
  <c r="M186" i="7"/>
  <c r="N186" i="7"/>
  <c r="O186" i="7"/>
  <c r="M187" i="7"/>
  <c r="N187" i="7"/>
  <c r="O187" i="7"/>
  <c r="M188" i="7"/>
  <c r="N188" i="7"/>
  <c r="O188" i="7"/>
  <c r="M189" i="7"/>
  <c r="N189" i="7"/>
  <c r="O189" i="7"/>
  <c r="M190" i="7"/>
  <c r="N190" i="7"/>
  <c r="O190" i="7"/>
  <c r="M191" i="7"/>
  <c r="N191" i="7"/>
  <c r="O191" i="7"/>
  <c r="M192" i="7"/>
  <c r="N192" i="7"/>
  <c r="O192" i="7"/>
  <c r="M193" i="7"/>
  <c r="N193" i="7"/>
  <c r="O193" i="7"/>
  <c r="M194" i="7"/>
  <c r="N194" i="7"/>
  <c r="O194" i="7"/>
  <c r="M195" i="7"/>
  <c r="N195" i="7"/>
  <c r="O195" i="7"/>
  <c r="M196" i="7"/>
  <c r="N196" i="7"/>
  <c r="O196" i="7"/>
  <c r="M197" i="7"/>
  <c r="N197" i="7"/>
  <c r="O197" i="7"/>
  <c r="M198" i="7"/>
  <c r="N198" i="7"/>
  <c r="O198" i="7"/>
  <c r="M199" i="7"/>
  <c r="N199" i="7"/>
  <c r="O199" i="7"/>
  <c r="M200" i="7"/>
  <c r="N200" i="7"/>
  <c r="O200" i="7"/>
  <c r="M201" i="7"/>
  <c r="N201" i="7"/>
  <c r="O201" i="7"/>
  <c r="M202" i="7"/>
  <c r="N202" i="7"/>
  <c r="O202" i="7"/>
  <c r="M203" i="7"/>
  <c r="N203" i="7"/>
  <c r="O203" i="7"/>
  <c r="M204" i="7"/>
  <c r="N204" i="7"/>
  <c r="O204" i="7"/>
  <c r="M205" i="7"/>
  <c r="N205" i="7"/>
  <c r="O205" i="7"/>
  <c r="M206" i="7"/>
  <c r="N206" i="7"/>
  <c r="O206" i="7"/>
  <c r="M207" i="7"/>
  <c r="N207" i="7"/>
  <c r="O207" i="7"/>
  <c r="M208" i="7"/>
  <c r="N208" i="7"/>
  <c r="O208" i="7"/>
  <c r="M209" i="7"/>
  <c r="N209" i="7"/>
  <c r="O209" i="7"/>
  <c r="M210" i="7"/>
  <c r="N210" i="7"/>
  <c r="O210" i="7"/>
  <c r="M211" i="7"/>
  <c r="N211" i="7"/>
  <c r="O211" i="7"/>
  <c r="M212" i="7"/>
  <c r="N212" i="7"/>
  <c r="O212" i="7"/>
  <c r="M213" i="7"/>
  <c r="N213" i="7"/>
  <c r="O213" i="7"/>
  <c r="M214" i="7"/>
  <c r="N214" i="7"/>
  <c r="O214" i="7"/>
  <c r="M215" i="7"/>
  <c r="N215" i="7"/>
  <c r="O215" i="7"/>
  <c r="M216" i="7"/>
  <c r="N216" i="7"/>
  <c r="O216" i="7"/>
  <c r="M217" i="7"/>
  <c r="N217" i="7"/>
  <c r="O217" i="7"/>
  <c r="M218" i="7"/>
  <c r="N218" i="7"/>
  <c r="O218" i="7"/>
  <c r="M219" i="7"/>
  <c r="N219" i="7"/>
  <c r="O219" i="7"/>
  <c r="M220" i="7"/>
  <c r="N220" i="7"/>
  <c r="O220" i="7"/>
  <c r="M221" i="7"/>
  <c r="N221" i="7"/>
  <c r="O221" i="7"/>
  <c r="M222" i="7"/>
  <c r="N222" i="7"/>
  <c r="O222" i="7"/>
  <c r="M223" i="7"/>
  <c r="N223" i="7"/>
  <c r="O223" i="7"/>
  <c r="M224" i="7"/>
  <c r="N224" i="7"/>
  <c r="O224" i="7"/>
  <c r="M225" i="7"/>
  <c r="N225" i="7"/>
  <c r="O225" i="7"/>
  <c r="M226" i="7"/>
  <c r="N226" i="7"/>
  <c r="O226" i="7"/>
  <c r="M227" i="7"/>
  <c r="N227" i="7"/>
  <c r="O227" i="7"/>
  <c r="M228" i="7"/>
  <c r="N228" i="7"/>
  <c r="O228" i="7"/>
  <c r="M229" i="7"/>
  <c r="N229" i="7"/>
  <c r="O229" i="7"/>
  <c r="M230" i="7"/>
  <c r="N230" i="7"/>
  <c r="O230" i="7"/>
  <c r="M231" i="7"/>
  <c r="N231" i="7"/>
  <c r="O231" i="7"/>
  <c r="M232" i="7"/>
  <c r="N232" i="7"/>
  <c r="O232" i="7"/>
  <c r="M233" i="7"/>
  <c r="N233" i="7"/>
  <c r="O233" i="7"/>
  <c r="M234" i="7"/>
  <c r="N234" i="7"/>
  <c r="O234" i="7"/>
  <c r="M235" i="7"/>
  <c r="N235" i="7"/>
  <c r="O235" i="7"/>
  <c r="M236" i="7"/>
  <c r="N236" i="7"/>
  <c r="O236" i="7"/>
  <c r="M237" i="7"/>
  <c r="N237" i="7"/>
  <c r="O237" i="7"/>
  <c r="M238" i="7"/>
  <c r="N238" i="7"/>
  <c r="O238" i="7"/>
  <c r="M239" i="7"/>
  <c r="N239" i="7"/>
  <c r="O239" i="7"/>
  <c r="M240" i="7"/>
  <c r="N240" i="7"/>
  <c r="O240" i="7"/>
  <c r="M241" i="7"/>
  <c r="N241" i="7"/>
  <c r="O241" i="7"/>
  <c r="M242" i="7"/>
  <c r="N242" i="7"/>
  <c r="O242" i="7"/>
  <c r="M243" i="7"/>
  <c r="N243" i="7"/>
  <c r="O243" i="7"/>
  <c r="M244" i="7"/>
  <c r="N244" i="7"/>
  <c r="O244" i="7"/>
  <c r="M245" i="7"/>
  <c r="N245" i="7"/>
  <c r="O245" i="7"/>
  <c r="M246" i="7"/>
  <c r="N246" i="7"/>
  <c r="O246" i="7"/>
  <c r="M247" i="7"/>
  <c r="N247" i="7"/>
  <c r="O247" i="7"/>
  <c r="M248" i="7"/>
  <c r="N248" i="7"/>
  <c r="O248" i="7"/>
  <c r="M249" i="7"/>
  <c r="N249" i="7"/>
  <c r="O249" i="7"/>
  <c r="M250" i="7"/>
  <c r="N250" i="7"/>
  <c r="O250" i="7"/>
  <c r="M251" i="7"/>
  <c r="N251" i="7"/>
  <c r="O251" i="7"/>
  <c r="M252" i="7"/>
  <c r="N252" i="7"/>
  <c r="O252" i="7"/>
  <c r="M253" i="7"/>
  <c r="N253" i="7"/>
  <c r="O253" i="7"/>
  <c r="M254" i="7"/>
  <c r="N254" i="7"/>
  <c r="O254" i="7"/>
  <c r="M255" i="7"/>
  <c r="N255" i="7"/>
  <c r="O255" i="7"/>
  <c r="M256" i="7"/>
  <c r="N256" i="7"/>
  <c r="O256" i="7"/>
  <c r="M257" i="7"/>
  <c r="N257" i="7"/>
  <c r="O257" i="7"/>
  <c r="M258" i="7"/>
  <c r="N258" i="7"/>
  <c r="O258" i="7"/>
  <c r="M259" i="7"/>
  <c r="N259" i="7"/>
  <c r="O259" i="7"/>
  <c r="M260" i="7"/>
  <c r="N260" i="7"/>
  <c r="O260" i="7"/>
  <c r="M261" i="7"/>
  <c r="N261" i="7"/>
  <c r="O261" i="7"/>
  <c r="M262" i="7"/>
  <c r="N262" i="7"/>
  <c r="O262" i="7"/>
  <c r="M263" i="7"/>
  <c r="N263" i="7"/>
  <c r="O263" i="7"/>
  <c r="M264" i="7"/>
  <c r="N264" i="7"/>
  <c r="O264" i="7"/>
  <c r="M265" i="7"/>
  <c r="N265" i="7"/>
  <c r="O265" i="7"/>
  <c r="M266" i="7"/>
  <c r="N266" i="7"/>
  <c r="O266" i="7"/>
  <c r="M267" i="7"/>
  <c r="N267" i="7"/>
  <c r="O267" i="7"/>
  <c r="M268" i="7"/>
  <c r="N268" i="7"/>
  <c r="O268" i="7"/>
  <c r="M269" i="7"/>
  <c r="N269" i="7"/>
  <c r="O269" i="7"/>
  <c r="M270" i="7"/>
  <c r="N270" i="7"/>
  <c r="O270" i="7"/>
  <c r="M271" i="7"/>
  <c r="N271" i="7"/>
  <c r="O271" i="7"/>
  <c r="M272" i="7"/>
  <c r="N272" i="7"/>
  <c r="O272" i="7"/>
  <c r="M273" i="7"/>
  <c r="N273" i="7"/>
  <c r="O273" i="7"/>
  <c r="M274" i="7"/>
  <c r="N274" i="7"/>
  <c r="O274" i="7"/>
  <c r="M275" i="7"/>
  <c r="N275" i="7"/>
  <c r="O275" i="7"/>
  <c r="M276" i="7"/>
  <c r="N276" i="7"/>
  <c r="O276" i="7"/>
  <c r="M277" i="7"/>
  <c r="N277" i="7"/>
  <c r="O277" i="7"/>
  <c r="M278" i="7"/>
  <c r="N278" i="7"/>
  <c r="O278" i="7"/>
  <c r="M279" i="7"/>
  <c r="N279" i="7"/>
  <c r="O279" i="7"/>
  <c r="M280" i="7"/>
  <c r="N280" i="7"/>
  <c r="O280" i="7"/>
  <c r="M281" i="7"/>
  <c r="N281" i="7"/>
  <c r="O281" i="7"/>
  <c r="M282" i="7"/>
  <c r="N282" i="7"/>
  <c r="O282" i="7"/>
  <c r="M283" i="7"/>
  <c r="N283" i="7"/>
  <c r="O283" i="7"/>
  <c r="M284" i="7"/>
  <c r="N284" i="7"/>
  <c r="O284" i="7"/>
  <c r="M285" i="7"/>
  <c r="N285" i="7"/>
  <c r="O285" i="7"/>
  <c r="M286" i="7"/>
  <c r="N286" i="7"/>
  <c r="O286" i="7"/>
  <c r="M287" i="7"/>
  <c r="N287" i="7"/>
  <c r="O287" i="7"/>
  <c r="M288" i="7"/>
  <c r="N288" i="7"/>
  <c r="O288" i="7"/>
  <c r="M289" i="7"/>
  <c r="N289" i="7"/>
  <c r="O289" i="7"/>
  <c r="M290" i="7"/>
  <c r="N290" i="7"/>
  <c r="O290" i="7"/>
  <c r="M291" i="7"/>
  <c r="N291" i="7"/>
  <c r="O291" i="7"/>
  <c r="M292" i="7"/>
  <c r="N292" i="7"/>
  <c r="O292" i="7"/>
  <c r="M293" i="7"/>
  <c r="N293" i="7"/>
  <c r="O293" i="7"/>
  <c r="M294" i="7"/>
  <c r="N294" i="7"/>
  <c r="O294" i="7"/>
  <c r="M295" i="7"/>
  <c r="N295" i="7"/>
  <c r="O295" i="7"/>
  <c r="M296" i="7"/>
  <c r="N296" i="7"/>
  <c r="O296" i="7"/>
  <c r="M297" i="7"/>
  <c r="N297" i="7"/>
  <c r="O297" i="7"/>
  <c r="M298" i="7"/>
  <c r="N298" i="7"/>
  <c r="O298" i="7"/>
  <c r="M299" i="7"/>
  <c r="N299" i="7"/>
  <c r="O299" i="7"/>
  <c r="M300" i="7"/>
  <c r="N300" i="7"/>
  <c r="O300" i="7"/>
  <c r="M301" i="7"/>
  <c r="N301" i="7"/>
  <c r="O301" i="7"/>
  <c r="M302" i="7"/>
  <c r="N302" i="7"/>
  <c r="O302" i="7"/>
  <c r="M303" i="7"/>
  <c r="N303" i="7"/>
  <c r="O303" i="7"/>
  <c r="M304" i="7"/>
  <c r="N304" i="7"/>
  <c r="O304" i="7"/>
  <c r="M305" i="7"/>
  <c r="N305" i="7"/>
  <c r="O305" i="7"/>
  <c r="M306" i="7"/>
  <c r="N306" i="7"/>
  <c r="O306" i="7"/>
  <c r="M307" i="7"/>
  <c r="N307" i="7"/>
  <c r="O307" i="7"/>
  <c r="O2" i="7"/>
  <c r="N2" i="7"/>
  <c r="M2" i="7"/>
</calcChain>
</file>

<file path=xl/sharedStrings.xml><?xml version="1.0" encoding="utf-8"?>
<sst xmlns="http://schemas.openxmlformats.org/spreadsheetml/2006/main" count="3333" uniqueCount="164">
  <si>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</si>
  <si>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</si>
  <si>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</si>
  <si>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</si>
  <si>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</si>
  <si>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</si>
  <si>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</si>
  <si>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</si>
  <si>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</si>
  <si>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</si>
  <si>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</si>
  <si>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</si>
  <si>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</si>
  <si>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</si>
  <si>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</si>
  <si>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</si>
  <si>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</si>
  <si>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</si>
  <si>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</si>
  <si>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</si>
  <si>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</si>
  <si>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</si>
  <si>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</si>
  <si>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</si>
  <si>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</si>
  <si>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</si>
  <si>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</si>
  <si>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</si>
  <si>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</si>
  <si>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</si>
  <si>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</si>
  <si>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</si>
  <si>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</si>
  <si>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</si>
  <si>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</si>
  <si>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</si>
  <si>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</si>
  <si>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</si>
  <si>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</si>
  <si>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</si>
  <si>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</si>
  <si>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</si>
  <si>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</si>
  <si>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</si>
  <si>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</si>
  <si>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</si>
  <si>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</si>
  <si>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</si>
  <si>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</si>
  <si>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</si>
  <si>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</si>
  <si>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</si>
  <si>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</si>
  <si>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</si>
  <si>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</si>
  <si>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</si>
  <si>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</si>
  <si>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</si>
  <si>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</si>
  <si>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</si>
  <si>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</si>
  <si>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</si>
  <si>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</si>
  <si>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</si>
  <si>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</si>
  <si>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</si>
  <si>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</si>
  <si>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</si>
  <si>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</si>
  <si>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</si>
  <si>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</si>
  <si>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</si>
  <si>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</si>
  <si>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</si>
  <si>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</si>
  <si>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</si>
  <si>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</si>
  <si>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</si>
  <si>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</si>
  <si>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</si>
  <si>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</si>
  <si>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</si>
  <si>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</si>
  <si>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</si>
  <si>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</si>
  <si>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</si>
  <si>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</si>
  <si>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</si>
  <si>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</si>
  <si>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</si>
  <si>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</si>
  <si>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</si>
  <si>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</si>
  <si>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</si>
  <si>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</si>
  <si>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</si>
  <si>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</si>
  <si>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</si>
  <si>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</si>
  <si>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</si>
  <si>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</si>
  <si>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</si>
  <si>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</si>
  <si>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</si>
  <si>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</si>
  <si>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</si>
  <si>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</si>
  <si>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</si>
  <si>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</si>
  <si>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</si>
  <si>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</si>
  <si>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</si>
  <si>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</si>
  <si>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</si>
  <si>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</si>
  <si>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</si>
  <si>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</si>
  <si>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</si>
  <si>
    <t>Is_Airport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</si>
  <si>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</si>
  <si>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</si>
  <si>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</si>
  <si>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</si>
  <si>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</si>
  <si>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</si>
  <si>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</si>
  <si>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</si>
  <si>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</si>
  <si>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</si>
  <si>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</si>
  <si>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</si>
  <si>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</si>
  <si>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</si>
  <si>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</si>
  <si>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</si>
  <si>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</si>
  <si>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</si>
  <si>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</si>
  <si>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</si>
  <si>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</si>
  <si>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</si>
  <si>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</si>
  <si>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Is_high_street</t>
  </si>
  <si>
    <t>Is_mall</t>
  </si>
  <si>
    <t>SUMMARY OUTPUT MODEL 1: Marketing Spend vs Monthly Sales</t>
  </si>
  <si>
    <t>SUMMARY OUTPUT MODEL 2: Footfall vs Monthly Sales</t>
  </si>
  <si>
    <t>SUMMARY OUTPUT: Multiple Linear Regression Model (All Variables)</t>
  </si>
  <si>
    <t>Residuals</t>
  </si>
  <si>
    <t>Predicted Sales and Residual Calculations</t>
  </si>
  <si>
    <t>predicted_monthly_sales</t>
  </si>
  <si>
    <t>Model Performance and Comparison Dashboard</t>
  </si>
  <si>
    <t>Model Name</t>
  </si>
  <si>
    <t>Independent Variables Used</t>
  </si>
  <si>
    <t>R-Squared</t>
  </si>
  <si>
    <t>Adjusted R-Squared</t>
  </si>
  <si>
    <t>Model Status</t>
  </si>
  <si>
    <t>marketing_spend,footfall,Is_High_street,Is_Airport, Is_mall</t>
  </si>
  <si>
    <t>Best Performing Model</t>
  </si>
  <si>
    <t>Conclusion:
Based on the analysis, Model 3 (Multiple Linear Regression Model) is the best performing model. It has the highest R-Squared and Adjusted R-Squared values. While footfall is a strong driver on its own, combining it with marketing spend and store location dummy variables gives the most accurate sales predictions for the business.</t>
  </si>
  <si>
    <t>Simple Regression- model 1</t>
  </si>
  <si>
    <t>Simple Regression- model 2</t>
  </si>
  <si>
    <t>Multiple regression - model 3</t>
  </si>
  <si>
    <t>Weak predictor</t>
  </si>
  <si>
    <t>Strong predictor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</si>
</sst>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8">
    <font>
      <sz val="11"/>
      <name val="Carlito"/>
    </font>
    <font>
      <b/>
      <sz val="11"/>
      <color rgb="FFFFFFFF"/>
      <name val="Carlito"/>
    </font>
    <font>
      <i/>
      <sz val="11"/>
      <name val="Carlito"/>
    </font>
    <font>
      <b/>
      <sz val="14"/>
      <name val="Carlito"/>
    </font>
    <font>
      <b/>
      <sz val="11"/>
      <name val="Carlito"/>
    </font>
    <font>
      <b/>
      <sz val="12"/>
      <name val="Carlito"/>
    </font>
    <font>
      <b/>
      <sz val="16"/>
      <name val="Carlito"/>
    </font>
    <font>
      <b/>
      <sz val="1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Continuous"/>
    </xf>
    <xf numFmtId="0" fontId="0" fillId="0" borderId="4" xfId="0" applyBorder="1"/>
    <xf numFmtId="0" fontId="3" fillId="0" borderId="0" xfId="0" applyFont="1"/>
    <xf numFmtId="0" fontId="5" fillId="0" borderId="0" xfId="0" applyFont="1"/>
    <xf numFmtId="0" fontId="7" fillId="0" borderId="0" xfId="0" applyFont="1"/>
    <xf numFmtId="0" fontId="6" fillId="0" borderId="0" xfId="0" applyFont="1"/>
    <xf numFmtId="0" fontId="4" fillId="3" borderId="5" xfId="0" applyFont="1" applyFill="1" applyBorder="1"/>
    <xf numFmtId="0" fontId="0" fillId="0" borderId="5" xfId="0" applyBorder="1"/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workbookViewId="0">
      <selection activeCell="AS15" sqref="AS15"/>
    </sheetView>
  </sheetViews>
  <sheetFormatPr defaultRowHeight="13.8"/>
  <cols>
    <col min="1" max="14" width="16" customWidth="1"/>
  </cols>
  <sheetData>
    <row r="1" spans="1:14" ht="22.3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s="3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3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3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3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3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3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3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3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3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3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3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3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3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3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3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3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3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3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3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3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3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3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3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3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3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3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3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3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3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3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3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3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3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3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3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3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3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3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3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3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3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3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3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3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3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3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3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3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3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3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3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3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3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3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3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3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3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3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3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3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3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3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3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3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3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3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3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3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3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3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3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3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3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3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3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3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3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3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3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3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3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3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3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3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3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3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3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3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3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3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3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3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3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3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3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3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3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3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3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3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3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3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3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3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3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3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3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3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3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3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3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3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3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3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3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3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3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3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3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3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3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3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3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3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3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3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3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3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3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3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3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3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3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3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3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3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3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3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3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3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3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3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3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3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3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3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3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3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3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3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3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3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3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3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3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3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3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3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3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3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3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3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3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3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3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3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3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3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3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3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3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3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3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3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3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3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3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3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3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3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3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3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3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3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3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3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3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3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3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3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3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3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3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3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3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3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3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3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3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3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3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3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3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3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3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3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3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3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3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3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3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3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3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3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3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3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3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3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3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3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3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3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3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3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3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3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3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3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3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3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3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3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3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3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3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3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3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3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3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3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3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3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3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3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3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3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3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3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3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3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3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3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3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3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3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3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3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3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3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3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3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3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3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3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3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3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3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3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3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3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3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3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3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3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3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3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3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3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3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3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3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3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3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3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3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3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3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3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3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3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3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3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3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3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3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3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3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3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3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3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3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3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3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3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3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3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3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3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3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3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3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3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3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3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3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3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3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3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3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3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3.8"/>
  <cols>
    <col min="1" max="2" width="28" customWidth="1"/>
  </cols>
  <sheetData>
    <row r="1" spans="1:2" ht="22.35" customHeight="1">
      <c r="A1" s="2" t="s">
        <v>102</v>
      </c>
      <c r="B1" s="2" t="s">
        <v>103</v>
      </c>
    </row>
    <row r="2" spans="1:2">
      <c r="A2" s="4" t="s">
        <v>0</v>
      </c>
      <c r="B2" s="4" t="s">
        <v>104</v>
      </c>
    </row>
    <row r="3" spans="1:2">
      <c r="A3" s="4" t="s">
        <v>1</v>
      </c>
      <c r="B3" s="4" t="s">
        <v>105</v>
      </c>
    </row>
    <row r="4" spans="1:2">
      <c r="A4" s="4" t="s">
        <v>2</v>
      </c>
      <c r="B4" s="4" t="s">
        <v>106</v>
      </c>
    </row>
    <row r="5" spans="1:2" ht="27.6">
      <c r="A5" s="4" t="s">
        <v>3</v>
      </c>
      <c r="B5" s="4" t="s">
        <v>107</v>
      </c>
    </row>
    <row r="6" spans="1:2" ht="27.6">
      <c r="A6" s="4" t="s">
        <v>4</v>
      </c>
      <c r="B6" s="4" t="s">
        <v>108</v>
      </c>
    </row>
    <row r="7" spans="1:2">
      <c r="A7" s="4" t="s">
        <v>5</v>
      </c>
      <c r="B7" s="4" t="s">
        <v>109</v>
      </c>
    </row>
    <row r="8" spans="1:2" ht="27.6">
      <c r="A8" s="4" t="s">
        <v>6</v>
      </c>
      <c r="B8" s="4" t="s">
        <v>110</v>
      </c>
    </row>
    <row r="9" spans="1:2">
      <c r="A9" s="4" t="s">
        <v>7</v>
      </c>
      <c r="B9" s="4" t="s">
        <v>111</v>
      </c>
    </row>
    <row r="10" spans="1:2" ht="27.6">
      <c r="A10" s="4" t="s">
        <v>8</v>
      </c>
      <c r="B10" s="4" t="s">
        <v>112</v>
      </c>
    </row>
    <row r="11" spans="1:2">
      <c r="A11" s="4" t="s">
        <v>9</v>
      </c>
      <c r="B11" s="4" t="s">
        <v>113</v>
      </c>
    </row>
    <row r="12" spans="1:2" ht="41.4">
      <c r="A12" s="4" t="s">
        <v>10</v>
      </c>
      <c r="B12" s="4" t="s">
        <v>114</v>
      </c>
    </row>
    <row r="13" spans="1:2">
      <c r="A13" s="4" t="s">
        <v>11</v>
      </c>
      <c r="B13" s="4" t="s">
        <v>115</v>
      </c>
    </row>
    <row r="14" spans="1:2" ht="27.6">
      <c r="A14" s="4" t="s">
        <v>12</v>
      </c>
      <c r="B14" s="4" t="s">
        <v>116</v>
      </c>
    </row>
    <row r="15" spans="1:2" ht="27.6">
      <c r="A15" s="4" t="s">
        <v>13</v>
      </c>
      <c r="B15" s="4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14673-8162-4113-AD55-E67216368E1A}">
  <dimension ref="A1:N321"/>
  <sheetViews>
    <sheetView workbookViewId="0">
      <selection activeCell="P24" sqref="P24"/>
    </sheetView>
  </sheetViews>
  <sheetFormatPr defaultRowHeight="13.8"/>
  <cols>
    <col min="1" max="1" width="9.19921875" bestFit="1" customWidth="1"/>
    <col min="2" max="2" width="7.5" bestFit="1" customWidth="1"/>
    <col min="4" max="4" width="11.59765625" customWidth="1"/>
    <col min="5" max="5" width="9.8984375" bestFit="1" customWidth="1"/>
    <col min="6" max="6" width="6.8984375" bestFit="1" customWidth="1"/>
    <col min="13" max="14" width="9.8984375" bestFit="1" customWidth="1"/>
  </cols>
  <sheetData>
    <row r="1" spans="1:14" ht="55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s="3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3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3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3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3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3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3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3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3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3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3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3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3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3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3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3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3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3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3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3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3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3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3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3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3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3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3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3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3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3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3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3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3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3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3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3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3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3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3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3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3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3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3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3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3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3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3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3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3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3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3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3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3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3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3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3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3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3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3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3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3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3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3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3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3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3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3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3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3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3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3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3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3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3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3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3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3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3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3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3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3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3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3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3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3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3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3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3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3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3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3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3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3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3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3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3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3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3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3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3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3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3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3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3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3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3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3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3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3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3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3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3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3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3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3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3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3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3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3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3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3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3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3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3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3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3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3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3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3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3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3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3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3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3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3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3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3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3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3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3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3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3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3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3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3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3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3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3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3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3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3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3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3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3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3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3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3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3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3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3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3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3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3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3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3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3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3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3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3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3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3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3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3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3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3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3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3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3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3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3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3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3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3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3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3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3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3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3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3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3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3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3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3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3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3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3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3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3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3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3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3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3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3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3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3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3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3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3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3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3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3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3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3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3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3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3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3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3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3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3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3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3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3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3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3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3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3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3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3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3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3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3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3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3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3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3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3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3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3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3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3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3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3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3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3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3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3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3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3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3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3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3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3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3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3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3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3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3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3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3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3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3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3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3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3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3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3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3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3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3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3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3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3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3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3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3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3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3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3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3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3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3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3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3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3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3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3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3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3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3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3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3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3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3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3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3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3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3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3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3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3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3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3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3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3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3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3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3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3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3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3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3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3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3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3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3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3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3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3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3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4ADD5-DB59-4AAB-BC63-E0058200B258}">
  <dimension ref="A1:L307"/>
  <sheetViews>
    <sheetView topLeftCell="A280" workbookViewId="0">
      <selection sqref="A1:L307"/>
    </sheetView>
  </sheetViews>
  <sheetFormatPr defaultRowHeight="13.8"/>
  <cols>
    <col min="2" max="2" width="12.19921875" customWidth="1"/>
    <col min="3" max="3" width="10.8984375" customWidth="1"/>
    <col min="5" max="5" width="16.3984375" customWidth="1"/>
    <col min="6" max="6" width="11.09765625" customWidth="1"/>
    <col min="7" max="7" width="20.69921875" customWidth="1"/>
    <col min="8" max="8" width="12.19921875" customWidth="1"/>
    <col min="9" max="9" width="11.296875" customWidth="1"/>
    <col min="10" max="10" width="16.3984375" customWidth="1"/>
    <col min="11" max="11" width="13.5" customWidth="1"/>
    <col min="12" max="12" width="14.296875" customWidth="1"/>
  </cols>
  <sheetData>
    <row r="1" spans="1:12" ht="27.6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</row>
    <row r="2" spans="1:12">
      <c r="A2" t="s">
        <v>15</v>
      </c>
      <c r="B2" t="s">
        <v>16</v>
      </c>
      <c r="C2">
        <v>70389.11</v>
      </c>
      <c r="D2">
        <v>8302</v>
      </c>
      <c r="E2">
        <v>4.2000000000000003E-2</v>
      </c>
      <c r="F2">
        <v>17</v>
      </c>
      <c r="G2">
        <v>0.75</v>
      </c>
      <c r="H2">
        <v>5.28</v>
      </c>
      <c r="I2">
        <v>1</v>
      </c>
      <c r="J2">
        <v>3.1</v>
      </c>
      <c r="K2">
        <v>658832.62</v>
      </c>
      <c r="L2">
        <v>84349.93</v>
      </c>
    </row>
    <row r="3" spans="1:12">
      <c r="A3" t="s">
        <v>15</v>
      </c>
      <c r="B3" t="s">
        <v>16</v>
      </c>
      <c r="C3">
        <v>43827.89</v>
      </c>
      <c r="D3">
        <v>8487</v>
      </c>
      <c r="E3">
        <v>0.16800000000000001</v>
      </c>
      <c r="F3">
        <v>23</v>
      </c>
      <c r="G3">
        <v>0.84400000000000008</v>
      </c>
      <c r="H3">
        <v>4.3099999999999996</v>
      </c>
      <c r="I3">
        <v>0</v>
      </c>
      <c r="J3">
        <v>2.8</v>
      </c>
      <c r="K3">
        <v>634436</v>
      </c>
      <c r="L3">
        <v>106130.54</v>
      </c>
    </row>
    <row r="4" spans="1:12">
      <c r="A4" t="s">
        <v>15</v>
      </c>
      <c r="B4" t="s">
        <v>16</v>
      </c>
      <c r="C4">
        <v>59921.75</v>
      </c>
      <c r="D4">
        <v>9113</v>
      </c>
      <c r="E4">
        <v>0.13300000000000001</v>
      </c>
      <c r="F4">
        <v>20</v>
      </c>
      <c r="G4">
        <v>0.88</v>
      </c>
      <c r="H4">
        <v>12</v>
      </c>
      <c r="I4">
        <v>0</v>
      </c>
      <c r="J4">
        <v>3.2</v>
      </c>
      <c r="K4">
        <v>678722.06</v>
      </c>
      <c r="L4">
        <v>101883.86</v>
      </c>
    </row>
    <row r="5" spans="1:12">
      <c r="A5" t="s">
        <v>15</v>
      </c>
      <c r="B5" t="s">
        <v>16</v>
      </c>
      <c r="C5">
        <v>56856.63</v>
      </c>
      <c r="D5">
        <v>9431</v>
      </c>
      <c r="E5">
        <v>0.14199999999999999</v>
      </c>
      <c r="F5">
        <v>23</v>
      </c>
      <c r="G5">
        <v>0.86900000000000011</v>
      </c>
      <c r="H5">
        <v>4.97</v>
      </c>
      <c r="I5">
        <v>0</v>
      </c>
      <c r="J5">
        <v>3.4</v>
      </c>
      <c r="K5">
        <v>658920.30000000005</v>
      </c>
      <c r="L5">
        <v>97910.37</v>
      </c>
    </row>
    <row r="6" spans="1:12">
      <c r="A6" t="s">
        <v>15</v>
      </c>
      <c r="B6" t="s">
        <v>18</v>
      </c>
      <c r="C6">
        <v>48412.639999999999</v>
      </c>
      <c r="D6">
        <v>9545</v>
      </c>
      <c r="E6">
        <v>0.23100000000000001</v>
      </c>
      <c r="F6">
        <v>21</v>
      </c>
      <c r="G6">
        <v>0.97599999999999998</v>
      </c>
      <c r="H6">
        <v>6.94</v>
      </c>
      <c r="I6">
        <v>1</v>
      </c>
      <c r="J6">
        <v>4.2</v>
      </c>
      <c r="K6">
        <v>741341.44</v>
      </c>
      <c r="L6">
        <v>119208.17</v>
      </c>
    </row>
    <row r="7" spans="1:12">
      <c r="A7" t="s">
        <v>15</v>
      </c>
      <c r="B7" t="s">
        <v>18</v>
      </c>
      <c r="C7">
        <v>64811.21</v>
      </c>
      <c r="D7">
        <v>9792</v>
      </c>
      <c r="E7">
        <v>0.112</v>
      </c>
      <c r="F7">
        <v>20</v>
      </c>
      <c r="G7">
        <v>0.84200000000000008</v>
      </c>
      <c r="H7">
        <v>2.88</v>
      </c>
      <c r="I7">
        <v>0</v>
      </c>
      <c r="J7">
        <v>4.2</v>
      </c>
      <c r="K7">
        <v>761835.34</v>
      </c>
      <c r="L7">
        <v>149602.23000000001</v>
      </c>
    </row>
    <row r="8" spans="1:12">
      <c r="A8" t="s">
        <v>15</v>
      </c>
      <c r="B8" t="s">
        <v>18</v>
      </c>
      <c r="C8">
        <v>46213.45</v>
      </c>
      <c r="D8">
        <v>10616</v>
      </c>
      <c r="E8">
        <v>0.122</v>
      </c>
      <c r="F8">
        <v>22</v>
      </c>
      <c r="G8">
        <v>0.85199999999999998</v>
      </c>
      <c r="H8">
        <v>0.2</v>
      </c>
      <c r="I8">
        <v>1</v>
      </c>
      <c r="J8">
        <v>4.0999999999999996</v>
      </c>
      <c r="K8">
        <v>806615.54</v>
      </c>
      <c r="L8">
        <v>131364.62</v>
      </c>
    </row>
    <row r="9" spans="1:12">
      <c r="A9" t="s">
        <v>15</v>
      </c>
      <c r="B9" t="s">
        <v>18</v>
      </c>
      <c r="C9">
        <v>68148.52</v>
      </c>
      <c r="D9">
        <v>8567</v>
      </c>
      <c r="E9">
        <v>0.127</v>
      </c>
      <c r="F9">
        <v>23</v>
      </c>
      <c r="G9">
        <v>0.95599999999999996</v>
      </c>
      <c r="H9">
        <v>0.8</v>
      </c>
      <c r="I9">
        <v>0</v>
      </c>
      <c r="J9">
        <v>3.9</v>
      </c>
      <c r="K9">
        <v>850164.26</v>
      </c>
      <c r="L9">
        <v>149262.75</v>
      </c>
    </row>
    <row r="10" spans="1:12">
      <c r="A10" t="s">
        <v>20</v>
      </c>
      <c r="B10" t="s">
        <v>21</v>
      </c>
      <c r="C10">
        <v>71838.86</v>
      </c>
      <c r="D10">
        <v>10979</v>
      </c>
      <c r="E10">
        <v>0.215</v>
      </c>
      <c r="F10">
        <v>26</v>
      </c>
      <c r="G10">
        <v>0.8859999999999999</v>
      </c>
      <c r="H10">
        <v>7.7</v>
      </c>
      <c r="I10">
        <v>1</v>
      </c>
      <c r="J10">
        <v>3.8</v>
      </c>
      <c r="K10">
        <v>930581.7</v>
      </c>
      <c r="L10">
        <v>136207.98000000001</v>
      </c>
    </row>
    <row r="11" spans="1:12">
      <c r="A11" t="s">
        <v>20</v>
      </c>
      <c r="B11" t="s">
        <v>21</v>
      </c>
      <c r="C11">
        <v>68133.440000000002</v>
      </c>
      <c r="D11">
        <v>9459</v>
      </c>
      <c r="E11">
        <v>0.22</v>
      </c>
      <c r="F11">
        <v>21</v>
      </c>
      <c r="G11">
        <v>0.85</v>
      </c>
      <c r="H11">
        <v>1.91</v>
      </c>
      <c r="I11">
        <v>0</v>
      </c>
      <c r="J11">
        <v>4.2</v>
      </c>
      <c r="K11">
        <v>779010.94</v>
      </c>
      <c r="L11">
        <v>106328.09</v>
      </c>
    </row>
    <row r="12" spans="1:12">
      <c r="A12" t="s">
        <v>20</v>
      </c>
      <c r="B12" t="s">
        <v>21</v>
      </c>
      <c r="C12">
        <v>34285.21</v>
      </c>
      <c r="D12">
        <v>9172</v>
      </c>
      <c r="E12">
        <v>0.21299999999999999</v>
      </c>
      <c r="F12">
        <v>22</v>
      </c>
      <c r="G12">
        <v>0.88300000000000001</v>
      </c>
      <c r="H12">
        <v>10.46</v>
      </c>
      <c r="I12">
        <v>1</v>
      </c>
      <c r="J12">
        <v>3.8</v>
      </c>
      <c r="K12">
        <v>723060.76</v>
      </c>
      <c r="L12">
        <v>123131.24</v>
      </c>
    </row>
    <row r="13" spans="1:12">
      <c r="A13" t="s">
        <v>20</v>
      </c>
      <c r="B13" t="s">
        <v>21</v>
      </c>
      <c r="C13">
        <v>67979.88</v>
      </c>
      <c r="D13">
        <v>11230</v>
      </c>
      <c r="E13">
        <v>2E-3</v>
      </c>
      <c r="F13">
        <v>28</v>
      </c>
      <c r="G13">
        <v>0.85299999999999998</v>
      </c>
      <c r="H13">
        <v>7.16</v>
      </c>
      <c r="I13">
        <v>0</v>
      </c>
      <c r="J13">
        <v>3.8</v>
      </c>
      <c r="K13">
        <v>910791.94</v>
      </c>
      <c r="L13">
        <v>158891.28</v>
      </c>
    </row>
    <row r="14" spans="1:12">
      <c r="A14" t="s">
        <v>15</v>
      </c>
      <c r="B14" t="s">
        <v>16</v>
      </c>
      <c r="C14">
        <v>71828.259999999995</v>
      </c>
      <c r="D14">
        <v>12775</v>
      </c>
      <c r="E14">
        <v>0.11600000000000001</v>
      </c>
      <c r="F14">
        <v>30</v>
      </c>
      <c r="G14">
        <v>0.81700000000000006</v>
      </c>
      <c r="H14">
        <v>4.24</v>
      </c>
      <c r="I14">
        <v>1</v>
      </c>
      <c r="J14">
        <v>4.2</v>
      </c>
      <c r="K14">
        <v>922168.6</v>
      </c>
      <c r="L14">
        <v>107494.53</v>
      </c>
    </row>
    <row r="15" spans="1:12">
      <c r="A15" t="s">
        <v>15</v>
      </c>
      <c r="B15" t="s">
        <v>16</v>
      </c>
      <c r="C15">
        <v>55716.82</v>
      </c>
      <c r="D15">
        <v>10054</v>
      </c>
      <c r="E15">
        <v>0.14599999999999999</v>
      </c>
      <c r="F15">
        <v>24</v>
      </c>
      <c r="G15">
        <v>0.84900000000000009</v>
      </c>
      <c r="H15">
        <v>1.06</v>
      </c>
      <c r="I15">
        <v>0</v>
      </c>
      <c r="J15">
        <v>4.3</v>
      </c>
      <c r="K15">
        <v>726606.28</v>
      </c>
      <c r="L15">
        <v>122729.29</v>
      </c>
    </row>
    <row r="16" spans="1:12">
      <c r="A16" t="s">
        <v>15</v>
      </c>
      <c r="B16" t="s">
        <v>16</v>
      </c>
      <c r="C16">
        <v>59909.51</v>
      </c>
      <c r="D16">
        <v>8895</v>
      </c>
      <c r="E16">
        <v>0.22800000000000001</v>
      </c>
      <c r="F16">
        <v>23</v>
      </c>
      <c r="G16">
        <v>0.88800000000000001</v>
      </c>
      <c r="H16">
        <v>0.27</v>
      </c>
      <c r="I16">
        <v>0</v>
      </c>
      <c r="J16">
        <v>4.3</v>
      </c>
      <c r="K16">
        <v>746501.09</v>
      </c>
      <c r="L16">
        <v>136816.72</v>
      </c>
    </row>
    <row r="17" spans="1:12">
      <c r="A17" t="s">
        <v>15</v>
      </c>
      <c r="B17" t="s">
        <v>16</v>
      </c>
      <c r="C17">
        <v>75305.710000000006</v>
      </c>
      <c r="D17">
        <v>10940</v>
      </c>
      <c r="E17">
        <v>6.0000000000000001E-3</v>
      </c>
      <c r="F17">
        <v>26</v>
      </c>
      <c r="G17">
        <v>0.76500000000000001</v>
      </c>
      <c r="H17">
        <v>1.32</v>
      </c>
      <c r="I17">
        <v>0</v>
      </c>
      <c r="J17">
        <v>4.5</v>
      </c>
      <c r="K17">
        <v>834017.02</v>
      </c>
      <c r="L17">
        <v>114745.03</v>
      </c>
    </row>
    <row r="18" spans="1:12">
      <c r="A18" t="s">
        <v>24</v>
      </c>
      <c r="B18" t="s">
        <v>16</v>
      </c>
      <c r="C18">
        <v>48804.22</v>
      </c>
      <c r="D18">
        <v>7057</v>
      </c>
      <c r="E18">
        <v>5.0000000000000001E-3</v>
      </c>
      <c r="F18">
        <v>15</v>
      </c>
      <c r="G18">
        <v>0.877</v>
      </c>
      <c r="H18">
        <v>1.22</v>
      </c>
      <c r="I18">
        <v>0</v>
      </c>
      <c r="J18">
        <v>3.7</v>
      </c>
      <c r="K18">
        <v>666152.52</v>
      </c>
      <c r="L18">
        <v>107490.58</v>
      </c>
    </row>
    <row r="19" spans="1:12">
      <c r="A19" t="s">
        <v>24</v>
      </c>
      <c r="B19" t="s">
        <v>16</v>
      </c>
      <c r="C19">
        <v>59117.9</v>
      </c>
      <c r="D19">
        <v>4263</v>
      </c>
      <c r="E19">
        <v>0.11899999999999999</v>
      </c>
      <c r="F19">
        <v>9</v>
      </c>
      <c r="G19">
        <v>0.87599999999999989</v>
      </c>
      <c r="H19">
        <v>4.01</v>
      </c>
      <c r="I19">
        <v>0</v>
      </c>
      <c r="J19">
        <v>3.6</v>
      </c>
      <c r="K19">
        <v>573155.18999999994</v>
      </c>
      <c r="L19">
        <v>83680.75</v>
      </c>
    </row>
    <row r="20" spans="1:12">
      <c r="A20" t="s">
        <v>24</v>
      </c>
      <c r="B20" t="s">
        <v>16</v>
      </c>
      <c r="C20">
        <v>78831.12</v>
      </c>
      <c r="D20">
        <v>5538</v>
      </c>
      <c r="E20">
        <v>0</v>
      </c>
      <c r="F20">
        <v>15</v>
      </c>
      <c r="G20">
        <v>0.94099999999999995</v>
      </c>
      <c r="H20">
        <v>0.2</v>
      </c>
      <c r="I20">
        <v>0</v>
      </c>
      <c r="J20">
        <v>3.9</v>
      </c>
      <c r="K20">
        <v>666573.19999999995</v>
      </c>
      <c r="L20">
        <v>140641.01999999999</v>
      </c>
    </row>
    <row r="21" spans="1:12">
      <c r="A21" t="s">
        <v>24</v>
      </c>
      <c r="B21" t="s">
        <v>16</v>
      </c>
      <c r="C21">
        <v>41441.93</v>
      </c>
      <c r="D21">
        <v>4865</v>
      </c>
      <c r="E21">
        <v>0.158</v>
      </c>
      <c r="F21">
        <v>16</v>
      </c>
      <c r="G21">
        <v>0.88300000000000001</v>
      </c>
      <c r="H21">
        <v>0.5</v>
      </c>
      <c r="I21">
        <v>0</v>
      </c>
      <c r="J21">
        <v>4</v>
      </c>
      <c r="K21">
        <v>591619.94999999995</v>
      </c>
      <c r="L21">
        <v>99521.35</v>
      </c>
    </row>
    <row r="22" spans="1:12">
      <c r="A22" t="s">
        <v>20</v>
      </c>
      <c r="B22" t="s">
        <v>16</v>
      </c>
      <c r="C22">
        <v>30356.28</v>
      </c>
      <c r="D22">
        <v>2822</v>
      </c>
      <c r="E22">
        <v>0.23100000000000001</v>
      </c>
      <c r="F22">
        <v>9</v>
      </c>
      <c r="G22">
        <v>0.84799999999999998</v>
      </c>
      <c r="H22">
        <v>6.95</v>
      </c>
      <c r="I22">
        <v>0</v>
      </c>
      <c r="J22">
        <v>5</v>
      </c>
      <c r="K22">
        <v>415721.82</v>
      </c>
      <c r="L22">
        <v>61179.15</v>
      </c>
    </row>
    <row r="23" spans="1:12">
      <c r="A23" t="s">
        <v>20</v>
      </c>
      <c r="B23" t="s">
        <v>16</v>
      </c>
      <c r="C23">
        <v>33518.879999999997</v>
      </c>
      <c r="D23">
        <v>2121</v>
      </c>
      <c r="E23">
        <v>0.17599999999999999</v>
      </c>
      <c r="F23">
        <v>8</v>
      </c>
      <c r="G23">
        <v>0.88500000000000001</v>
      </c>
      <c r="H23">
        <v>0.2</v>
      </c>
      <c r="I23">
        <v>0</v>
      </c>
      <c r="J23">
        <v>5</v>
      </c>
      <c r="K23">
        <v>491905.13</v>
      </c>
      <c r="L23">
        <v>79212.259999999995</v>
      </c>
    </row>
    <row r="24" spans="1:12">
      <c r="A24" t="s">
        <v>20</v>
      </c>
      <c r="B24" t="s">
        <v>16</v>
      </c>
      <c r="C24">
        <v>42267.37</v>
      </c>
      <c r="D24">
        <v>3364</v>
      </c>
      <c r="E24">
        <v>0.16</v>
      </c>
      <c r="F24">
        <v>13</v>
      </c>
      <c r="G24">
        <v>0.82</v>
      </c>
      <c r="H24">
        <v>1.61</v>
      </c>
      <c r="I24">
        <v>1</v>
      </c>
      <c r="J24">
        <v>4.5999999999999996</v>
      </c>
      <c r="K24">
        <v>555929.4</v>
      </c>
      <c r="L24">
        <v>115201.76</v>
      </c>
    </row>
    <row r="25" spans="1:12">
      <c r="A25" t="s">
        <v>20</v>
      </c>
      <c r="B25" t="s">
        <v>16</v>
      </c>
      <c r="C25">
        <v>62060.43</v>
      </c>
      <c r="D25">
        <v>2613</v>
      </c>
      <c r="E25">
        <v>0.216</v>
      </c>
      <c r="F25">
        <v>12</v>
      </c>
      <c r="G25">
        <v>0.92099999999999993</v>
      </c>
      <c r="H25">
        <v>1.55</v>
      </c>
      <c r="I25">
        <v>0</v>
      </c>
      <c r="J25">
        <v>4.7</v>
      </c>
      <c r="K25">
        <v>565810.99</v>
      </c>
      <c r="L25">
        <v>77825.460000000006</v>
      </c>
    </row>
    <row r="26" spans="1:12">
      <c r="A26" t="s">
        <v>27</v>
      </c>
      <c r="B26" t="s">
        <v>28</v>
      </c>
      <c r="C26">
        <v>57696.69</v>
      </c>
      <c r="D26">
        <v>10218</v>
      </c>
      <c r="E26">
        <v>0.121</v>
      </c>
      <c r="F26">
        <v>25</v>
      </c>
      <c r="G26">
        <v>0.94799999999999995</v>
      </c>
      <c r="H26">
        <v>2.99</v>
      </c>
      <c r="I26">
        <v>0</v>
      </c>
      <c r="J26">
        <v>3.5</v>
      </c>
      <c r="K26">
        <v>811771.14</v>
      </c>
      <c r="L26">
        <v>148756.24</v>
      </c>
    </row>
    <row r="27" spans="1:12">
      <c r="A27" t="s">
        <v>27</v>
      </c>
      <c r="B27" t="s">
        <v>28</v>
      </c>
      <c r="C27">
        <v>172415.52</v>
      </c>
      <c r="D27">
        <v>8927</v>
      </c>
      <c r="E27">
        <v>0.14000000000000001</v>
      </c>
      <c r="F27">
        <v>22</v>
      </c>
      <c r="G27">
        <v>0.86199999999999999</v>
      </c>
      <c r="H27">
        <v>7.04</v>
      </c>
      <c r="I27">
        <v>0</v>
      </c>
      <c r="J27">
        <v>3.9</v>
      </c>
      <c r="K27">
        <v>800451.94</v>
      </c>
      <c r="L27">
        <v>111572.29</v>
      </c>
    </row>
    <row r="28" spans="1:12">
      <c r="A28" t="s">
        <v>27</v>
      </c>
      <c r="B28" t="s">
        <v>28</v>
      </c>
      <c r="C28">
        <v>55270.52</v>
      </c>
      <c r="D28">
        <v>9315</v>
      </c>
      <c r="E28">
        <v>0.16900000000000001</v>
      </c>
      <c r="F28">
        <v>23</v>
      </c>
      <c r="G28">
        <v>0.91900000000000004</v>
      </c>
      <c r="H28">
        <v>4.9400000000000004</v>
      </c>
      <c r="I28">
        <v>0</v>
      </c>
      <c r="J28">
        <v>4</v>
      </c>
      <c r="K28">
        <v>783672.82</v>
      </c>
      <c r="L28">
        <v>112577.14</v>
      </c>
    </row>
    <row r="29" spans="1:12">
      <c r="A29" t="s">
        <v>27</v>
      </c>
      <c r="B29" t="s">
        <v>28</v>
      </c>
      <c r="C29">
        <v>52715.1</v>
      </c>
      <c r="D29">
        <v>7223</v>
      </c>
      <c r="E29">
        <v>0.122</v>
      </c>
      <c r="F29">
        <v>16</v>
      </c>
      <c r="G29">
        <v>0.84200000000000008</v>
      </c>
      <c r="H29">
        <v>16.149999999999999</v>
      </c>
      <c r="I29">
        <v>0</v>
      </c>
      <c r="J29">
        <v>3.7</v>
      </c>
      <c r="K29">
        <v>701641.97</v>
      </c>
      <c r="L29">
        <v>106111.86</v>
      </c>
    </row>
    <row r="30" spans="1:12">
      <c r="A30" t="s">
        <v>15</v>
      </c>
      <c r="B30" t="s">
        <v>16</v>
      </c>
      <c r="C30">
        <v>68600.62</v>
      </c>
      <c r="D30">
        <v>3988</v>
      </c>
      <c r="E30">
        <v>0.124</v>
      </c>
      <c r="F30">
        <v>11</v>
      </c>
      <c r="G30">
        <v>0.85</v>
      </c>
      <c r="H30">
        <v>0.48</v>
      </c>
      <c r="I30">
        <v>0</v>
      </c>
      <c r="J30">
        <v>3.6</v>
      </c>
      <c r="K30">
        <v>511844.41</v>
      </c>
      <c r="L30">
        <v>72774.44</v>
      </c>
    </row>
    <row r="31" spans="1:12">
      <c r="A31" t="s">
        <v>15</v>
      </c>
      <c r="B31" t="s">
        <v>16</v>
      </c>
      <c r="C31">
        <v>63176.73</v>
      </c>
      <c r="D31">
        <v>2390</v>
      </c>
      <c r="E31">
        <v>0.216</v>
      </c>
      <c r="F31">
        <v>9</v>
      </c>
      <c r="G31">
        <v>0.875</v>
      </c>
      <c r="H31">
        <v>0.31</v>
      </c>
      <c r="I31">
        <v>0</v>
      </c>
      <c r="J31">
        <v>3.1</v>
      </c>
      <c r="K31">
        <v>537383.79</v>
      </c>
      <c r="L31">
        <v>63773.27</v>
      </c>
    </row>
    <row r="32" spans="1:12">
      <c r="A32" t="s">
        <v>15</v>
      </c>
      <c r="B32" t="s">
        <v>16</v>
      </c>
      <c r="C32">
        <v>44970.080000000002</v>
      </c>
      <c r="D32">
        <v>2471</v>
      </c>
      <c r="E32">
        <v>0.13600000000000001</v>
      </c>
      <c r="F32">
        <v>11</v>
      </c>
      <c r="G32">
        <v>0.87599999999999989</v>
      </c>
      <c r="H32">
        <v>3.01</v>
      </c>
      <c r="I32">
        <v>1</v>
      </c>
      <c r="J32">
        <v>3.7</v>
      </c>
      <c r="K32">
        <v>500173.02</v>
      </c>
      <c r="L32">
        <v>70982.05</v>
      </c>
    </row>
    <row r="33" spans="1:12">
      <c r="A33" t="s">
        <v>15</v>
      </c>
      <c r="B33" t="s">
        <v>16</v>
      </c>
      <c r="C33">
        <v>69816.350000000006</v>
      </c>
      <c r="D33">
        <v>971</v>
      </c>
      <c r="E33">
        <v>0.16800000000000001</v>
      </c>
      <c r="F33">
        <v>5</v>
      </c>
      <c r="G33">
        <v>0.89900000000000002</v>
      </c>
      <c r="H33">
        <v>12.15</v>
      </c>
      <c r="I33">
        <v>0</v>
      </c>
      <c r="J33">
        <v>3.6</v>
      </c>
      <c r="K33">
        <v>427917.38</v>
      </c>
      <c r="L33">
        <v>81824.31</v>
      </c>
    </row>
    <row r="34" spans="1:12">
      <c r="A34" t="s">
        <v>20</v>
      </c>
      <c r="B34" t="s">
        <v>16</v>
      </c>
      <c r="C34">
        <v>54597.83</v>
      </c>
      <c r="D34">
        <v>9429</v>
      </c>
      <c r="E34">
        <v>0.188</v>
      </c>
      <c r="F34">
        <v>21</v>
      </c>
      <c r="G34">
        <v>0.83299999999999996</v>
      </c>
      <c r="H34">
        <v>11.71</v>
      </c>
      <c r="I34">
        <v>0</v>
      </c>
      <c r="J34">
        <v>4.2</v>
      </c>
      <c r="K34">
        <v>641865.03</v>
      </c>
      <c r="L34">
        <v>81342.58</v>
      </c>
    </row>
    <row r="35" spans="1:12">
      <c r="A35" t="s">
        <v>20</v>
      </c>
      <c r="B35" t="s">
        <v>16</v>
      </c>
      <c r="C35">
        <v>74413.88</v>
      </c>
      <c r="D35">
        <v>9449</v>
      </c>
      <c r="E35">
        <v>3.9E-2</v>
      </c>
      <c r="F35">
        <v>23</v>
      </c>
      <c r="G35">
        <v>0.92099999999999993</v>
      </c>
      <c r="H35">
        <v>2.12</v>
      </c>
      <c r="I35">
        <v>0</v>
      </c>
      <c r="J35">
        <v>3.5</v>
      </c>
      <c r="K35">
        <v>798952.17</v>
      </c>
      <c r="L35">
        <v>161499.04</v>
      </c>
    </row>
    <row r="36" spans="1:12">
      <c r="A36" t="s">
        <v>20</v>
      </c>
      <c r="B36" t="s">
        <v>16</v>
      </c>
      <c r="C36">
        <v>52483.77</v>
      </c>
      <c r="D36">
        <v>10453</v>
      </c>
      <c r="E36">
        <v>0.247</v>
      </c>
      <c r="F36">
        <v>25</v>
      </c>
      <c r="G36">
        <v>0.99</v>
      </c>
      <c r="H36">
        <v>6.31</v>
      </c>
      <c r="I36">
        <v>0</v>
      </c>
      <c r="J36">
        <v>3.6</v>
      </c>
      <c r="K36">
        <v>800979.78</v>
      </c>
      <c r="L36">
        <v>149242.26999999999</v>
      </c>
    </row>
    <row r="37" spans="1:12">
      <c r="A37" t="s">
        <v>20</v>
      </c>
      <c r="B37" t="s">
        <v>28</v>
      </c>
      <c r="C37">
        <v>75269.87</v>
      </c>
      <c r="D37">
        <v>8838</v>
      </c>
      <c r="E37">
        <v>9.1999999999999998E-2</v>
      </c>
      <c r="F37">
        <v>21</v>
      </c>
      <c r="G37">
        <v>0.83099999999999996</v>
      </c>
      <c r="H37">
        <v>9.56</v>
      </c>
      <c r="I37">
        <v>1</v>
      </c>
      <c r="J37">
        <v>4.2</v>
      </c>
      <c r="K37">
        <v>820593.93</v>
      </c>
      <c r="L37">
        <v>115860.06</v>
      </c>
    </row>
    <row r="38" spans="1:12">
      <c r="A38" t="s">
        <v>20</v>
      </c>
      <c r="B38" t="s">
        <v>28</v>
      </c>
      <c r="C38">
        <v>61245.41</v>
      </c>
      <c r="D38">
        <v>8156</v>
      </c>
      <c r="E38">
        <v>0.156</v>
      </c>
      <c r="F38">
        <v>19</v>
      </c>
      <c r="G38">
        <v>0.92900000000000005</v>
      </c>
      <c r="H38">
        <v>9.0500000000000007</v>
      </c>
      <c r="I38">
        <v>0</v>
      </c>
      <c r="J38">
        <v>3.8</v>
      </c>
      <c r="K38">
        <v>718330.53</v>
      </c>
      <c r="L38">
        <v>93247.9</v>
      </c>
    </row>
    <row r="39" spans="1:12">
      <c r="A39" t="s">
        <v>20</v>
      </c>
      <c r="B39" t="s">
        <v>28</v>
      </c>
      <c r="C39">
        <v>93381.26</v>
      </c>
      <c r="D39">
        <v>7562</v>
      </c>
      <c r="E39">
        <v>0.19800000000000001</v>
      </c>
      <c r="F39">
        <v>19</v>
      </c>
      <c r="G39">
        <v>0.82900000000000007</v>
      </c>
      <c r="H39">
        <v>5.05</v>
      </c>
      <c r="I39">
        <v>0</v>
      </c>
      <c r="J39">
        <v>4</v>
      </c>
      <c r="K39">
        <v>736633.4</v>
      </c>
      <c r="L39">
        <v>115654.66</v>
      </c>
    </row>
    <row r="40" spans="1:12">
      <c r="A40" t="s">
        <v>20</v>
      </c>
      <c r="B40" t="s">
        <v>28</v>
      </c>
      <c r="C40">
        <v>65012.19</v>
      </c>
      <c r="D40">
        <v>9598</v>
      </c>
      <c r="E40">
        <v>8.5000000000000006E-2</v>
      </c>
      <c r="F40">
        <v>24</v>
      </c>
      <c r="G40">
        <v>0.98299999999999998</v>
      </c>
      <c r="H40">
        <v>0.89</v>
      </c>
      <c r="I40">
        <v>0</v>
      </c>
      <c r="J40">
        <v>3.8</v>
      </c>
      <c r="K40">
        <v>828623.85</v>
      </c>
      <c r="L40">
        <v>167320.51999999999</v>
      </c>
    </row>
    <row r="41" spans="1:12">
      <c r="A41" t="s">
        <v>15</v>
      </c>
      <c r="B41" t="s">
        <v>28</v>
      </c>
      <c r="C41">
        <v>40462.94</v>
      </c>
      <c r="D41">
        <v>3660</v>
      </c>
      <c r="E41">
        <v>0.218</v>
      </c>
      <c r="F41">
        <v>11</v>
      </c>
      <c r="G41">
        <v>0.95200000000000007</v>
      </c>
      <c r="H41">
        <v>5.57</v>
      </c>
      <c r="I41">
        <v>0</v>
      </c>
      <c r="J41">
        <v>4.4000000000000004</v>
      </c>
      <c r="K41">
        <v>592195.85</v>
      </c>
      <c r="L41">
        <v>92291.56</v>
      </c>
    </row>
    <row r="42" spans="1:12">
      <c r="A42" t="s">
        <v>15</v>
      </c>
      <c r="B42" t="s">
        <v>28</v>
      </c>
      <c r="C42">
        <v>46123.88</v>
      </c>
      <c r="D42">
        <v>3227</v>
      </c>
      <c r="E42">
        <v>0.14299999999999999</v>
      </c>
      <c r="F42">
        <v>10</v>
      </c>
      <c r="G42">
        <v>0.754</v>
      </c>
      <c r="H42">
        <v>1.06</v>
      </c>
      <c r="I42">
        <v>0</v>
      </c>
      <c r="J42">
        <v>4.4000000000000004</v>
      </c>
      <c r="K42">
        <v>532644.46</v>
      </c>
      <c r="L42">
        <v>60681.32</v>
      </c>
    </row>
    <row r="43" spans="1:12">
      <c r="A43" t="s">
        <v>15</v>
      </c>
      <c r="B43" t="s">
        <v>28</v>
      </c>
      <c r="C43">
        <v>68077.539999999994</v>
      </c>
      <c r="D43">
        <v>3360</v>
      </c>
      <c r="E43">
        <v>0.128</v>
      </c>
      <c r="F43">
        <v>14</v>
      </c>
      <c r="G43">
        <v>0.88200000000000001</v>
      </c>
      <c r="H43">
        <v>1.24</v>
      </c>
      <c r="I43">
        <v>1</v>
      </c>
      <c r="J43">
        <v>4</v>
      </c>
      <c r="K43">
        <v>657429.18000000005</v>
      </c>
      <c r="L43">
        <v>88919.74</v>
      </c>
    </row>
    <row r="44" spans="1:12">
      <c r="A44" t="s">
        <v>15</v>
      </c>
      <c r="B44" t="s">
        <v>28</v>
      </c>
      <c r="C44">
        <v>64882.14</v>
      </c>
      <c r="D44">
        <v>3642</v>
      </c>
      <c r="E44">
        <v>1.9E-2</v>
      </c>
      <c r="F44">
        <v>13</v>
      </c>
      <c r="G44">
        <v>0.878</v>
      </c>
      <c r="H44">
        <v>4.5199999999999996</v>
      </c>
      <c r="I44">
        <v>0</v>
      </c>
      <c r="J44">
        <v>4.2</v>
      </c>
      <c r="K44">
        <v>605178</v>
      </c>
      <c r="L44">
        <v>106958.74</v>
      </c>
    </row>
    <row r="45" spans="1:12">
      <c r="A45" t="s">
        <v>27</v>
      </c>
      <c r="B45" t="s">
        <v>16</v>
      </c>
      <c r="C45">
        <v>138855.51</v>
      </c>
      <c r="D45">
        <v>5145</v>
      </c>
      <c r="E45">
        <v>0.06</v>
      </c>
      <c r="F45">
        <v>17</v>
      </c>
      <c r="G45">
        <v>0.88200000000000001</v>
      </c>
      <c r="H45">
        <v>9.58</v>
      </c>
      <c r="I45">
        <v>0</v>
      </c>
      <c r="J45">
        <v>3.2</v>
      </c>
      <c r="K45">
        <v>595467.6</v>
      </c>
      <c r="L45">
        <v>104276.46</v>
      </c>
    </row>
    <row r="46" spans="1:12">
      <c r="A46" t="s">
        <v>27</v>
      </c>
      <c r="B46" t="s">
        <v>16</v>
      </c>
      <c r="C46">
        <v>63630.21</v>
      </c>
      <c r="D46">
        <v>4460</v>
      </c>
      <c r="E46">
        <v>0.23499999999999999</v>
      </c>
      <c r="F46">
        <v>14</v>
      </c>
      <c r="G46">
        <v>0.98599999999999999</v>
      </c>
      <c r="H46">
        <v>5.52</v>
      </c>
      <c r="I46">
        <v>0</v>
      </c>
      <c r="J46">
        <v>3.5</v>
      </c>
      <c r="K46">
        <v>599603.4</v>
      </c>
      <c r="L46">
        <v>112685.12</v>
      </c>
    </row>
    <row r="47" spans="1:12">
      <c r="A47" t="s">
        <v>27</v>
      </c>
      <c r="B47" t="s">
        <v>16</v>
      </c>
      <c r="C47">
        <v>50043.65</v>
      </c>
      <c r="D47">
        <v>3804</v>
      </c>
      <c r="E47">
        <v>0.113</v>
      </c>
      <c r="F47">
        <v>11</v>
      </c>
      <c r="G47">
        <v>0.90900000000000003</v>
      </c>
      <c r="H47">
        <v>2.7</v>
      </c>
      <c r="I47">
        <v>1</v>
      </c>
      <c r="J47">
        <v>3.2</v>
      </c>
      <c r="K47">
        <v>614800.09</v>
      </c>
      <c r="L47">
        <v>100044.2</v>
      </c>
    </row>
    <row r="48" spans="1:12">
      <c r="A48" t="s">
        <v>27</v>
      </c>
      <c r="B48" t="s">
        <v>16</v>
      </c>
      <c r="C48">
        <v>42093.84</v>
      </c>
      <c r="D48">
        <v>4074</v>
      </c>
      <c r="E48">
        <v>0.155</v>
      </c>
      <c r="F48">
        <v>15</v>
      </c>
      <c r="G48">
        <v>0.88</v>
      </c>
      <c r="H48">
        <v>9.64</v>
      </c>
      <c r="I48">
        <v>0</v>
      </c>
      <c r="J48">
        <v>3.3</v>
      </c>
      <c r="K48">
        <v>585365.73</v>
      </c>
      <c r="L48">
        <v>81011.520000000004</v>
      </c>
    </row>
    <row r="49" spans="1:12">
      <c r="A49" t="s">
        <v>20</v>
      </c>
      <c r="B49" t="s">
        <v>28</v>
      </c>
      <c r="C49">
        <v>46624.05</v>
      </c>
      <c r="D49">
        <v>5104</v>
      </c>
      <c r="E49">
        <v>0.109</v>
      </c>
      <c r="F49">
        <v>11</v>
      </c>
      <c r="G49">
        <v>0.97299999999999998</v>
      </c>
      <c r="H49">
        <v>3.49</v>
      </c>
      <c r="I49">
        <v>1</v>
      </c>
      <c r="J49">
        <v>4.7</v>
      </c>
      <c r="K49">
        <v>622811.74</v>
      </c>
      <c r="L49">
        <v>109978.35</v>
      </c>
    </row>
    <row r="50" spans="1:12">
      <c r="A50" t="s">
        <v>20</v>
      </c>
      <c r="B50" t="s">
        <v>28</v>
      </c>
      <c r="C50">
        <v>49710.29</v>
      </c>
      <c r="D50">
        <v>5559</v>
      </c>
      <c r="E50">
        <v>0.218</v>
      </c>
      <c r="F50">
        <v>14</v>
      </c>
      <c r="G50">
        <v>0.71</v>
      </c>
      <c r="H50">
        <v>9.11</v>
      </c>
      <c r="I50">
        <v>0</v>
      </c>
      <c r="J50">
        <v>4.5999999999999996</v>
      </c>
      <c r="K50">
        <v>603297.56999999995</v>
      </c>
      <c r="L50">
        <v>60592.26</v>
      </c>
    </row>
    <row r="51" spans="1:12">
      <c r="A51" t="s">
        <v>20</v>
      </c>
      <c r="B51" t="s">
        <v>28</v>
      </c>
      <c r="C51">
        <v>48287.85</v>
      </c>
      <c r="D51">
        <v>5150</v>
      </c>
      <c r="E51">
        <v>8.0000000000000002E-3</v>
      </c>
      <c r="F51">
        <v>12</v>
      </c>
      <c r="G51">
        <v>0.80400000000000005</v>
      </c>
      <c r="H51">
        <v>7.4</v>
      </c>
      <c r="I51">
        <v>0</v>
      </c>
      <c r="J51">
        <v>4.5</v>
      </c>
      <c r="K51">
        <v>625672.86</v>
      </c>
      <c r="L51">
        <v>118020.12</v>
      </c>
    </row>
    <row r="52" spans="1:12">
      <c r="A52" t="s">
        <v>20</v>
      </c>
      <c r="B52" t="s">
        <v>28</v>
      </c>
      <c r="C52">
        <v>65312.49</v>
      </c>
      <c r="D52">
        <v>7189</v>
      </c>
      <c r="E52">
        <v>0.05</v>
      </c>
      <c r="F52">
        <v>19</v>
      </c>
      <c r="G52">
        <v>0.93700000000000006</v>
      </c>
      <c r="H52">
        <v>7.16</v>
      </c>
      <c r="I52">
        <v>0</v>
      </c>
      <c r="J52">
        <v>4.5999999999999996</v>
      </c>
      <c r="K52">
        <v>773815.14</v>
      </c>
      <c r="L52">
        <v>133948.39000000001</v>
      </c>
    </row>
    <row r="53" spans="1:12">
      <c r="A53" t="s">
        <v>27</v>
      </c>
      <c r="B53" t="s">
        <v>18</v>
      </c>
      <c r="C53">
        <v>53015.46</v>
      </c>
      <c r="D53">
        <v>3279</v>
      </c>
      <c r="E53">
        <v>8.6999999999999994E-2</v>
      </c>
      <c r="F53">
        <v>9</v>
      </c>
      <c r="G53">
        <v>0.84299999999999997</v>
      </c>
      <c r="H53">
        <v>22.02</v>
      </c>
      <c r="I53">
        <v>0</v>
      </c>
      <c r="J53">
        <v>3.9</v>
      </c>
      <c r="K53">
        <v>463534.25</v>
      </c>
      <c r="L53">
        <v>81834.539999999994</v>
      </c>
    </row>
    <row r="54" spans="1:12">
      <c r="A54" t="s">
        <v>27</v>
      </c>
      <c r="B54" t="s">
        <v>18</v>
      </c>
      <c r="C54">
        <v>99874.01</v>
      </c>
      <c r="D54">
        <v>5887</v>
      </c>
      <c r="E54">
        <v>0.26200000000000001</v>
      </c>
      <c r="F54">
        <v>14</v>
      </c>
      <c r="G54">
        <v>0.88700000000000001</v>
      </c>
      <c r="H54">
        <v>6.18</v>
      </c>
      <c r="I54">
        <v>0</v>
      </c>
      <c r="J54">
        <v>4.7</v>
      </c>
      <c r="K54">
        <v>746677.75</v>
      </c>
      <c r="L54">
        <v>122437.84</v>
      </c>
    </row>
    <row r="55" spans="1:12">
      <c r="A55" t="s">
        <v>27</v>
      </c>
      <c r="B55" t="s">
        <v>18</v>
      </c>
      <c r="C55">
        <v>81195.5</v>
      </c>
      <c r="D55">
        <v>5516</v>
      </c>
      <c r="E55">
        <v>0.106</v>
      </c>
      <c r="F55">
        <v>14</v>
      </c>
      <c r="G55">
        <v>0.88</v>
      </c>
      <c r="H55">
        <v>1.76</v>
      </c>
      <c r="I55">
        <v>0</v>
      </c>
      <c r="J55">
        <v>4.3</v>
      </c>
      <c r="K55">
        <v>720852.5</v>
      </c>
      <c r="L55">
        <v>98565.62</v>
      </c>
    </row>
    <row r="56" spans="1:12">
      <c r="A56" t="s">
        <v>27</v>
      </c>
      <c r="B56" t="s">
        <v>18</v>
      </c>
      <c r="C56">
        <v>27808.6</v>
      </c>
      <c r="D56">
        <v>2863</v>
      </c>
      <c r="E56">
        <v>0.08</v>
      </c>
      <c r="F56">
        <v>13</v>
      </c>
      <c r="G56">
        <v>0.89300000000000002</v>
      </c>
      <c r="H56">
        <v>0.47</v>
      </c>
      <c r="I56">
        <v>0</v>
      </c>
      <c r="J56">
        <v>4.0999999999999996</v>
      </c>
      <c r="K56">
        <v>487464.91</v>
      </c>
      <c r="L56">
        <v>64562.26</v>
      </c>
    </row>
    <row r="57" spans="1:12">
      <c r="A57" t="s">
        <v>15</v>
      </c>
      <c r="B57" t="s">
        <v>21</v>
      </c>
      <c r="C57">
        <v>19365.060000000001</v>
      </c>
      <c r="D57">
        <v>2378</v>
      </c>
      <c r="E57">
        <v>0</v>
      </c>
      <c r="F57">
        <v>12</v>
      </c>
      <c r="G57">
        <v>0.94799999999999995</v>
      </c>
      <c r="H57">
        <v>0.2</v>
      </c>
      <c r="I57">
        <v>0</v>
      </c>
      <c r="J57">
        <v>3.5</v>
      </c>
      <c r="K57">
        <v>518049.26</v>
      </c>
      <c r="L57">
        <v>108592.49</v>
      </c>
    </row>
    <row r="58" spans="1:12">
      <c r="A58" t="s">
        <v>15</v>
      </c>
      <c r="B58" t="s">
        <v>21</v>
      </c>
      <c r="C58">
        <v>59405.68</v>
      </c>
      <c r="D58">
        <v>2515</v>
      </c>
      <c r="E58">
        <v>3.9E-2</v>
      </c>
      <c r="F58">
        <v>12</v>
      </c>
      <c r="G58">
        <v>0.76</v>
      </c>
      <c r="H58">
        <v>5.1100000000000003</v>
      </c>
      <c r="I58">
        <v>0</v>
      </c>
      <c r="J58">
        <v>3.7</v>
      </c>
      <c r="K58">
        <v>500298.48</v>
      </c>
      <c r="L58">
        <v>73461.320000000007</v>
      </c>
    </row>
    <row r="59" spans="1:12">
      <c r="A59" t="s">
        <v>15</v>
      </c>
      <c r="B59" t="s">
        <v>21</v>
      </c>
      <c r="C59">
        <v>118910.48</v>
      </c>
      <c r="D59">
        <v>4022</v>
      </c>
      <c r="E59">
        <v>0.13700000000000001</v>
      </c>
      <c r="F59">
        <v>11</v>
      </c>
      <c r="G59">
        <v>0.871</v>
      </c>
      <c r="H59">
        <v>0.2</v>
      </c>
      <c r="I59">
        <v>0</v>
      </c>
      <c r="J59">
        <v>3.1</v>
      </c>
      <c r="K59">
        <v>617291.15</v>
      </c>
      <c r="L59">
        <v>117782</v>
      </c>
    </row>
    <row r="60" spans="1:12">
      <c r="A60" t="s">
        <v>15</v>
      </c>
      <c r="B60" t="s">
        <v>21</v>
      </c>
      <c r="C60">
        <v>52952.12</v>
      </c>
      <c r="D60">
        <v>4377</v>
      </c>
      <c r="E60">
        <v>9.1999999999999998E-2</v>
      </c>
      <c r="F60">
        <v>14</v>
      </c>
      <c r="G60">
        <v>0.8859999999999999</v>
      </c>
      <c r="H60">
        <v>13.59</v>
      </c>
      <c r="I60">
        <v>0</v>
      </c>
      <c r="J60">
        <v>3.1</v>
      </c>
      <c r="K60">
        <v>553756.43000000005</v>
      </c>
      <c r="L60">
        <v>86166.77</v>
      </c>
    </row>
    <row r="61" spans="1:12">
      <c r="A61" t="s">
        <v>24</v>
      </c>
      <c r="B61" t="s">
        <v>18</v>
      </c>
      <c r="C61">
        <v>74907.98</v>
      </c>
      <c r="D61">
        <v>5306</v>
      </c>
      <c r="E61">
        <v>6.2E-2</v>
      </c>
      <c r="F61">
        <v>16</v>
      </c>
      <c r="G61">
        <v>0.95599999999999996</v>
      </c>
      <c r="H61">
        <v>1.02</v>
      </c>
      <c r="I61">
        <v>0</v>
      </c>
      <c r="J61">
        <v>3.7</v>
      </c>
      <c r="K61">
        <v>749559.71</v>
      </c>
      <c r="L61">
        <v>144522.53</v>
      </c>
    </row>
    <row r="62" spans="1:12">
      <c r="A62" t="s">
        <v>24</v>
      </c>
      <c r="B62" t="s">
        <v>18</v>
      </c>
      <c r="C62">
        <v>37284.660000000003</v>
      </c>
      <c r="D62">
        <v>3928</v>
      </c>
      <c r="E62">
        <v>7.3999999999999996E-2</v>
      </c>
      <c r="F62">
        <v>12</v>
      </c>
      <c r="G62">
        <v>0.86499999999999999</v>
      </c>
      <c r="H62">
        <v>1.64</v>
      </c>
      <c r="I62">
        <v>0</v>
      </c>
      <c r="J62">
        <v>3.8</v>
      </c>
      <c r="K62">
        <v>615966.48</v>
      </c>
      <c r="L62">
        <v>91509.38</v>
      </c>
    </row>
    <row r="63" spans="1:12">
      <c r="A63" t="s">
        <v>24</v>
      </c>
      <c r="B63" t="s">
        <v>18</v>
      </c>
      <c r="C63">
        <v>50343.19</v>
      </c>
      <c r="D63">
        <v>3845</v>
      </c>
      <c r="E63">
        <v>0.113</v>
      </c>
      <c r="F63">
        <v>9</v>
      </c>
      <c r="G63">
        <v>0.88700000000000001</v>
      </c>
      <c r="H63">
        <v>5.15</v>
      </c>
      <c r="I63">
        <v>0</v>
      </c>
      <c r="J63">
        <v>3.3</v>
      </c>
      <c r="K63">
        <v>572011.19999999995</v>
      </c>
      <c r="L63">
        <v>101409.68</v>
      </c>
    </row>
    <row r="64" spans="1:12">
      <c r="A64" t="s">
        <v>24</v>
      </c>
      <c r="B64" t="s">
        <v>18</v>
      </c>
      <c r="C64">
        <v>74954.47</v>
      </c>
      <c r="D64">
        <v>6620</v>
      </c>
      <c r="E64">
        <v>5.3999999999999999E-2</v>
      </c>
      <c r="F64">
        <v>17</v>
      </c>
      <c r="G64">
        <v>0.91099999999999992</v>
      </c>
      <c r="H64">
        <v>1.1100000000000001</v>
      </c>
      <c r="I64">
        <v>0</v>
      </c>
      <c r="J64">
        <v>3.5</v>
      </c>
      <c r="K64">
        <v>761860.19</v>
      </c>
      <c r="L64">
        <v>133279.38</v>
      </c>
    </row>
    <row r="65" spans="1:12">
      <c r="A65" t="s">
        <v>27</v>
      </c>
      <c r="B65" t="s">
        <v>18</v>
      </c>
      <c r="C65">
        <v>70040.31</v>
      </c>
      <c r="D65">
        <v>9175</v>
      </c>
      <c r="E65">
        <v>0.107</v>
      </c>
      <c r="F65">
        <v>23</v>
      </c>
      <c r="G65">
        <v>0.95099999999999996</v>
      </c>
      <c r="H65">
        <v>6.08</v>
      </c>
      <c r="I65">
        <v>1</v>
      </c>
      <c r="J65">
        <v>3.4</v>
      </c>
      <c r="K65">
        <v>784502.68</v>
      </c>
      <c r="L65">
        <v>129519.72</v>
      </c>
    </row>
    <row r="66" spans="1:12">
      <c r="A66" t="s">
        <v>27</v>
      </c>
      <c r="B66" t="s">
        <v>18</v>
      </c>
      <c r="C66">
        <v>51148.69</v>
      </c>
      <c r="D66">
        <v>7940</v>
      </c>
      <c r="E66">
        <v>0.156</v>
      </c>
      <c r="F66">
        <v>18</v>
      </c>
      <c r="G66">
        <v>0.93299999999999994</v>
      </c>
      <c r="H66">
        <v>10.91</v>
      </c>
      <c r="I66">
        <v>0</v>
      </c>
      <c r="J66">
        <v>3.6</v>
      </c>
      <c r="K66">
        <v>717141.55</v>
      </c>
      <c r="L66">
        <v>134013.60999999999</v>
      </c>
    </row>
    <row r="67" spans="1:12">
      <c r="A67" t="s">
        <v>27</v>
      </c>
      <c r="B67" t="s">
        <v>18</v>
      </c>
      <c r="C67">
        <v>79346.100000000006</v>
      </c>
      <c r="D67">
        <v>9628</v>
      </c>
      <c r="E67">
        <v>0.10199999999999999</v>
      </c>
      <c r="F67">
        <v>20</v>
      </c>
      <c r="G67">
        <v>0.99</v>
      </c>
      <c r="H67">
        <v>19.010000000000002</v>
      </c>
      <c r="I67">
        <v>1</v>
      </c>
      <c r="J67">
        <v>3.2</v>
      </c>
      <c r="K67">
        <v>685379.08</v>
      </c>
      <c r="L67">
        <v>106898.82</v>
      </c>
    </row>
    <row r="68" spans="1:12">
      <c r="A68" t="s">
        <v>27</v>
      </c>
      <c r="B68" t="s">
        <v>18</v>
      </c>
      <c r="C68">
        <v>42018.400000000001</v>
      </c>
      <c r="D68">
        <v>8296</v>
      </c>
      <c r="E68">
        <v>0.115</v>
      </c>
      <c r="F68">
        <v>17</v>
      </c>
      <c r="G68">
        <v>0.91799999999999993</v>
      </c>
      <c r="H68">
        <v>0.77</v>
      </c>
      <c r="I68">
        <v>0</v>
      </c>
      <c r="J68">
        <v>3.4</v>
      </c>
      <c r="K68">
        <v>740496.65</v>
      </c>
      <c r="L68">
        <v>128020.9</v>
      </c>
    </row>
    <row r="69" spans="1:12">
      <c r="A69" t="s">
        <v>15</v>
      </c>
      <c r="B69" t="s">
        <v>18</v>
      </c>
      <c r="C69">
        <v>70937.240000000005</v>
      </c>
      <c r="D69">
        <v>3595</v>
      </c>
      <c r="E69">
        <v>0.14099999999999999</v>
      </c>
      <c r="F69">
        <v>11</v>
      </c>
      <c r="G69">
        <v>0.88900000000000001</v>
      </c>
      <c r="H69">
        <v>2.83</v>
      </c>
      <c r="I69">
        <v>1</v>
      </c>
      <c r="J69">
        <v>3.3</v>
      </c>
      <c r="K69">
        <v>661927.14</v>
      </c>
      <c r="L69">
        <v>79218.570000000007</v>
      </c>
    </row>
    <row r="70" spans="1:12">
      <c r="A70" t="s">
        <v>15</v>
      </c>
      <c r="B70" t="s">
        <v>18</v>
      </c>
      <c r="C70">
        <v>36813.449999999997</v>
      </c>
      <c r="D70">
        <v>2834</v>
      </c>
      <c r="E70">
        <v>0.191</v>
      </c>
      <c r="F70">
        <v>11</v>
      </c>
      <c r="G70">
        <v>0.81799999999999995</v>
      </c>
      <c r="H70">
        <v>2.33</v>
      </c>
      <c r="I70">
        <v>0</v>
      </c>
      <c r="J70">
        <v>3.3</v>
      </c>
      <c r="K70">
        <v>479050.5</v>
      </c>
      <c r="L70">
        <v>53651.11</v>
      </c>
    </row>
    <row r="71" spans="1:12">
      <c r="A71" t="s">
        <v>15</v>
      </c>
      <c r="B71" t="s">
        <v>18</v>
      </c>
      <c r="C71">
        <v>60571.82</v>
      </c>
      <c r="D71">
        <v>3193</v>
      </c>
      <c r="E71">
        <v>0.19700000000000001</v>
      </c>
      <c r="F71">
        <v>7</v>
      </c>
      <c r="G71">
        <v>0.99</v>
      </c>
      <c r="H71">
        <v>1.43</v>
      </c>
      <c r="I71">
        <v>0</v>
      </c>
      <c r="J71">
        <v>3.2</v>
      </c>
      <c r="K71">
        <v>605023.87</v>
      </c>
      <c r="L71">
        <v>98545.81</v>
      </c>
    </row>
    <row r="72" spans="1:12">
      <c r="A72" t="s">
        <v>15</v>
      </c>
      <c r="B72" t="s">
        <v>16</v>
      </c>
      <c r="C72">
        <v>46201.46</v>
      </c>
      <c r="D72">
        <v>5918</v>
      </c>
      <c r="E72">
        <v>0.27700000000000002</v>
      </c>
      <c r="F72">
        <v>13</v>
      </c>
      <c r="G72">
        <v>0.78799999999999992</v>
      </c>
      <c r="H72">
        <v>4.91</v>
      </c>
      <c r="I72">
        <v>0</v>
      </c>
      <c r="J72">
        <v>4.5</v>
      </c>
      <c r="K72">
        <v>616069.41</v>
      </c>
      <c r="L72">
        <v>54453.99</v>
      </c>
    </row>
    <row r="73" spans="1:12">
      <c r="A73" t="s">
        <v>15</v>
      </c>
      <c r="B73" t="s">
        <v>16</v>
      </c>
      <c r="C73">
        <v>53762.92</v>
      </c>
      <c r="D73">
        <v>6821</v>
      </c>
      <c r="E73">
        <v>6.6000000000000003E-2</v>
      </c>
      <c r="F73">
        <v>19</v>
      </c>
      <c r="G73">
        <v>0.94599999999999995</v>
      </c>
      <c r="H73">
        <v>7.03</v>
      </c>
      <c r="I73">
        <v>0</v>
      </c>
      <c r="J73">
        <v>4.4000000000000004</v>
      </c>
      <c r="K73">
        <v>630829.93999999994</v>
      </c>
      <c r="L73">
        <v>117090.02</v>
      </c>
    </row>
    <row r="74" spans="1:12">
      <c r="A74" t="s">
        <v>15</v>
      </c>
      <c r="B74" t="s">
        <v>16</v>
      </c>
      <c r="C74">
        <v>70144.78</v>
      </c>
      <c r="D74">
        <v>6806</v>
      </c>
      <c r="E74">
        <v>0.17799999999999999</v>
      </c>
      <c r="F74">
        <v>20</v>
      </c>
      <c r="G74">
        <v>0.93099999999999994</v>
      </c>
      <c r="H74">
        <v>0.28000000000000003</v>
      </c>
      <c r="I74">
        <v>1</v>
      </c>
      <c r="J74">
        <v>4.3</v>
      </c>
      <c r="K74">
        <v>788087.68</v>
      </c>
      <c r="L74">
        <v>116803.42</v>
      </c>
    </row>
    <row r="75" spans="1:12">
      <c r="A75" t="s">
        <v>15</v>
      </c>
      <c r="B75" t="s">
        <v>16</v>
      </c>
      <c r="C75">
        <v>58749.63</v>
      </c>
      <c r="D75">
        <v>8252</v>
      </c>
      <c r="E75">
        <v>0.20300000000000001</v>
      </c>
      <c r="F75">
        <v>20</v>
      </c>
      <c r="G75">
        <v>0.85199999999999998</v>
      </c>
      <c r="H75">
        <v>3.61</v>
      </c>
      <c r="I75">
        <v>0</v>
      </c>
      <c r="J75">
        <v>4.5</v>
      </c>
      <c r="K75">
        <v>680840.36</v>
      </c>
      <c r="L75">
        <v>68007.679999999993</v>
      </c>
    </row>
    <row r="76" spans="1:12">
      <c r="A76" t="s">
        <v>24</v>
      </c>
      <c r="B76" t="s">
        <v>18</v>
      </c>
      <c r="C76">
        <v>56973.18</v>
      </c>
      <c r="D76">
        <v>6662</v>
      </c>
      <c r="E76">
        <v>0.1</v>
      </c>
      <c r="F76">
        <v>15</v>
      </c>
      <c r="G76">
        <v>0.77700000000000002</v>
      </c>
      <c r="H76">
        <v>7.52</v>
      </c>
      <c r="I76">
        <v>1</v>
      </c>
      <c r="J76">
        <v>3.2</v>
      </c>
      <c r="K76">
        <v>643657.47</v>
      </c>
      <c r="L76">
        <v>87022.45</v>
      </c>
    </row>
    <row r="77" spans="1:12">
      <c r="A77" t="s">
        <v>24</v>
      </c>
      <c r="B77" t="s">
        <v>18</v>
      </c>
      <c r="C77">
        <v>54872.82</v>
      </c>
      <c r="D77">
        <v>5962</v>
      </c>
      <c r="E77">
        <v>6.4000000000000001E-2</v>
      </c>
      <c r="F77">
        <v>12</v>
      </c>
      <c r="G77">
        <v>0.85400000000000009</v>
      </c>
      <c r="H77">
        <v>2.58</v>
      </c>
      <c r="I77">
        <v>0</v>
      </c>
      <c r="J77">
        <v>2.9</v>
      </c>
      <c r="K77">
        <v>691112.6</v>
      </c>
      <c r="L77">
        <v>109212.83</v>
      </c>
    </row>
    <row r="78" spans="1:12">
      <c r="A78" t="s">
        <v>24</v>
      </c>
      <c r="B78" t="s">
        <v>18</v>
      </c>
      <c r="C78">
        <v>80562.81</v>
      </c>
      <c r="D78">
        <v>7470</v>
      </c>
      <c r="E78">
        <v>0.17199999999999999</v>
      </c>
      <c r="F78">
        <v>16</v>
      </c>
      <c r="G78">
        <v>0.83499999999999996</v>
      </c>
      <c r="H78">
        <v>2.29</v>
      </c>
      <c r="I78">
        <v>0</v>
      </c>
      <c r="J78">
        <v>3.3</v>
      </c>
      <c r="K78">
        <v>776922.17</v>
      </c>
      <c r="L78">
        <v>150701.93</v>
      </c>
    </row>
    <row r="79" spans="1:12">
      <c r="A79" t="s">
        <v>24</v>
      </c>
      <c r="B79" t="s">
        <v>18</v>
      </c>
      <c r="C79">
        <v>77999.899999999994</v>
      </c>
      <c r="D79">
        <v>5974</v>
      </c>
      <c r="E79">
        <v>0.252</v>
      </c>
      <c r="F79">
        <v>14</v>
      </c>
      <c r="G79">
        <v>0.81299999999999994</v>
      </c>
      <c r="H79">
        <v>2.39</v>
      </c>
      <c r="I79">
        <v>0</v>
      </c>
      <c r="J79">
        <v>3.2</v>
      </c>
      <c r="K79">
        <v>636561.34</v>
      </c>
      <c r="L79">
        <v>93861.06</v>
      </c>
    </row>
    <row r="80" spans="1:12">
      <c r="A80" t="s">
        <v>27</v>
      </c>
      <c r="B80" t="s">
        <v>28</v>
      </c>
      <c r="C80">
        <v>60881.01</v>
      </c>
      <c r="D80">
        <v>5410</v>
      </c>
      <c r="E80">
        <v>0.17899999999999999</v>
      </c>
      <c r="F80">
        <v>15</v>
      </c>
      <c r="G80">
        <v>0.83900000000000008</v>
      </c>
      <c r="H80">
        <v>5.24</v>
      </c>
      <c r="I80">
        <v>0</v>
      </c>
      <c r="J80">
        <v>4.5999999999999996</v>
      </c>
      <c r="K80">
        <v>621369.57999999996</v>
      </c>
      <c r="L80">
        <v>85493.64</v>
      </c>
    </row>
    <row r="81" spans="1:12">
      <c r="A81" t="s">
        <v>27</v>
      </c>
      <c r="B81" t="s">
        <v>28</v>
      </c>
      <c r="C81">
        <v>60628.38</v>
      </c>
      <c r="D81">
        <v>4451</v>
      </c>
      <c r="E81">
        <v>9.5000000000000001E-2</v>
      </c>
      <c r="F81">
        <v>10</v>
      </c>
      <c r="G81">
        <v>0.89599999999999991</v>
      </c>
      <c r="H81">
        <v>3.17</v>
      </c>
      <c r="I81">
        <v>0</v>
      </c>
      <c r="J81">
        <v>4.5999999999999996</v>
      </c>
      <c r="K81">
        <v>682208.01</v>
      </c>
      <c r="L81">
        <v>110318.84</v>
      </c>
    </row>
    <row r="82" spans="1:12">
      <c r="A82" t="s">
        <v>27</v>
      </c>
      <c r="B82" t="s">
        <v>28</v>
      </c>
      <c r="C82">
        <v>72731.14</v>
      </c>
      <c r="D82">
        <v>4644</v>
      </c>
      <c r="E82">
        <v>8.4000000000000005E-2</v>
      </c>
      <c r="F82">
        <v>15</v>
      </c>
      <c r="G82">
        <v>0.871</v>
      </c>
      <c r="H82">
        <v>2.66</v>
      </c>
      <c r="I82">
        <v>0</v>
      </c>
      <c r="J82">
        <v>4.5999999999999996</v>
      </c>
      <c r="K82">
        <v>727241.86</v>
      </c>
      <c r="L82">
        <v>155810.29999999999</v>
      </c>
    </row>
    <row r="83" spans="1:12">
      <c r="A83" t="s">
        <v>27</v>
      </c>
      <c r="B83" t="s">
        <v>28</v>
      </c>
      <c r="C83">
        <v>36475.71</v>
      </c>
      <c r="D83">
        <v>3559</v>
      </c>
      <c r="E83">
        <v>0.03</v>
      </c>
      <c r="F83">
        <v>8</v>
      </c>
      <c r="G83">
        <v>0.83599999999999997</v>
      </c>
      <c r="H83">
        <v>1.41</v>
      </c>
      <c r="I83">
        <v>0</v>
      </c>
      <c r="J83">
        <v>4.2</v>
      </c>
      <c r="K83">
        <v>569100.78</v>
      </c>
      <c r="L83">
        <v>104808.78</v>
      </c>
    </row>
    <row r="84" spans="1:12">
      <c r="A84" t="s">
        <v>27</v>
      </c>
      <c r="B84" t="s">
        <v>18</v>
      </c>
      <c r="C84">
        <v>55388.11</v>
      </c>
      <c r="D84">
        <v>3091</v>
      </c>
      <c r="E84">
        <v>0.108</v>
      </c>
      <c r="F84">
        <v>7</v>
      </c>
      <c r="G84">
        <v>0.85400000000000009</v>
      </c>
      <c r="H84">
        <v>7.34</v>
      </c>
      <c r="I84">
        <v>0</v>
      </c>
      <c r="J84">
        <v>4.9000000000000004</v>
      </c>
      <c r="K84">
        <v>574436.29</v>
      </c>
      <c r="L84">
        <v>80271.990000000005</v>
      </c>
    </row>
    <row r="85" spans="1:12">
      <c r="A85" t="s">
        <v>27</v>
      </c>
      <c r="B85" t="s">
        <v>18</v>
      </c>
      <c r="C85">
        <v>78231.91</v>
      </c>
      <c r="D85">
        <v>3788</v>
      </c>
      <c r="E85">
        <v>5.8999999999999997E-2</v>
      </c>
      <c r="F85">
        <v>11</v>
      </c>
      <c r="G85">
        <v>0.88500000000000001</v>
      </c>
      <c r="H85">
        <v>15.51</v>
      </c>
      <c r="I85">
        <v>0</v>
      </c>
      <c r="J85">
        <v>4.3</v>
      </c>
      <c r="K85">
        <v>614596.31999999995</v>
      </c>
      <c r="L85">
        <v>131199.41</v>
      </c>
    </row>
    <row r="86" spans="1:12">
      <c r="A86" t="s">
        <v>27</v>
      </c>
      <c r="B86" t="s">
        <v>18</v>
      </c>
      <c r="C86">
        <v>18996.32</v>
      </c>
      <c r="D86">
        <v>1260</v>
      </c>
      <c r="E86">
        <v>0.14499999999999999</v>
      </c>
      <c r="F86">
        <v>9</v>
      </c>
      <c r="G86">
        <v>0.8640000000000001</v>
      </c>
      <c r="H86">
        <v>4.3099999999999996</v>
      </c>
      <c r="I86">
        <v>0</v>
      </c>
      <c r="J86">
        <v>4.5999999999999996</v>
      </c>
      <c r="K86">
        <v>450711.92</v>
      </c>
      <c r="L86">
        <v>90043.76</v>
      </c>
    </row>
    <row r="87" spans="1:12">
      <c r="A87" t="s">
        <v>24</v>
      </c>
      <c r="B87" t="s">
        <v>28</v>
      </c>
      <c r="C87">
        <v>50517.94</v>
      </c>
      <c r="D87">
        <v>7024</v>
      </c>
      <c r="E87">
        <v>2.9000000000000001E-2</v>
      </c>
      <c r="F87">
        <v>18</v>
      </c>
      <c r="G87">
        <v>0.79200000000000004</v>
      </c>
      <c r="H87">
        <v>6.61</v>
      </c>
      <c r="I87">
        <v>1</v>
      </c>
      <c r="J87">
        <v>4.0999999999999996</v>
      </c>
      <c r="K87">
        <v>711213.46</v>
      </c>
      <c r="L87">
        <v>105863.26</v>
      </c>
    </row>
    <row r="88" spans="1:12">
      <c r="A88" t="s">
        <v>24</v>
      </c>
      <c r="B88" t="s">
        <v>28</v>
      </c>
      <c r="C88">
        <v>141540.29</v>
      </c>
      <c r="D88">
        <v>5400</v>
      </c>
      <c r="E88">
        <v>1.2999999999999999E-2</v>
      </c>
      <c r="F88">
        <v>12</v>
      </c>
      <c r="G88">
        <v>0.87</v>
      </c>
      <c r="H88">
        <v>4.26</v>
      </c>
      <c r="I88">
        <v>0</v>
      </c>
      <c r="J88">
        <v>4.5</v>
      </c>
      <c r="K88">
        <v>627171.9</v>
      </c>
      <c r="L88">
        <v>105772.75</v>
      </c>
    </row>
    <row r="89" spans="1:12">
      <c r="A89" t="s">
        <v>24</v>
      </c>
      <c r="B89" t="s">
        <v>28</v>
      </c>
      <c r="C89">
        <v>82116.19</v>
      </c>
      <c r="D89">
        <v>5988</v>
      </c>
      <c r="E89">
        <v>0.04</v>
      </c>
      <c r="F89">
        <v>17</v>
      </c>
      <c r="G89">
        <v>0.91799999999999993</v>
      </c>
      <c r="H89">
        <v>5.75</v>
      </c>
      <c r="I89">
        <v>0</v>
      </c>
      <c r="J89">
        <v>4.7</v>
      </c>
      <c r="K89">
        <v>739852.58</v>
      </c>
      <c r="L89">
        <v>129386.43</v>
      </c>
    </row>
    <row r="90" spans="1:12">
      <c r="A90" t="s">
        <v>24</v>
      </c>
      <c r="B90" t="s">
        <v>28</v>
      </c>
      <c r="C90">
        <v>31207.51</v>
      </c>
      <c r="D90">
        <v>3701</v>
      </c>
      <c r="E90">
        <v>4.2999999999999997E-2</v>
      </c>
      <c r="F90">
        <v>11</v>
      </c>
      <c r="G90">
        <v>0.84699999999999998</v>
      </c>
      <c r="H90">
        <v>0.33</v>
      </c>
      <c r="I90">
        <v>0</v>
      </c>
      <c r="J90">
        <v>4.3</v>
      </c>
      <c r="K90">
        <v>586307.22</v>
      </c>
      <c r="L90">
        <v>73927.850000000006</v>
      </c>
    </row>
    <row r="91" spans="1:12">
      <c r="A91" t="s">
        <v>27</v>
      </c>
      <c r="B91" t="s">
        <v>16</v>
      </c>
      <c r="C91">
        <v>38966.589999999997</v>
      </c>
      <c r="D91">
        <v>4509</v>
      </c>
      <c r="E91">
        <v>0.19400000000000001</v>
      </c>
      <c r="F91">
        <v>14</v>
      </c>
      <c r="G91">
        <v>0.91099999999999992</v>
      </c>
      <c r="H91">
        <v>2.92</v>
      </c>
      <c r="I91">
        <v>0</v>
      </c>
      <c r="J91">
        <v>4.5999999999999996</v>
      </c>
      <c r="K91">
        <v>585937.48</v>
      </c>
      <c r="L91">
        <v>82624.2</v>
      </c>
    </row>
    <row r="92" spans="1:12">
      <c r="A92" t="s">
        <v>27</v>
      </c>
      <c r="B92" t="s">
        <v>16</v>
      </c>
      <c r="C92">
        <v>67439.3</v>
      </c>
      <c r="D92">
        <v>6477</v>
      </c>
      <c r="E92">
        <v>0</v>
      </c>
      <c r="F92">
        <v>16</v>
      </c>
      <c r="G92">
        <v>0.90900000000000003</v>
      </c>
      <c r="H92">
        <v>1.64</v>
      </c>
      <c r="I92">
        <v>0</v>
      </c>
      <c r="J92">
        <v>4.5</v>
      </c>
      <c r="K92">
        <v>753473.55</v>
      </c>
      <c r="L92">
        <v>151527.22</v>
      </c>
    </row>
    <row r="93" spans="1:12">
      <c r="A93" t="s">
        <v>27</v>
      </c>
      <c r="B93" t="s">
        <v>16</v>
      </c>
      <c r="C93">
        <v>86421.88</v>
      </c>
      <c r="D93">
        <v>7970</v>
      </c>
      <c r="E93">
        <v>7.2999999999999995E-2</v>
      </c>
      <c r="F93">
        <v>17</v>
      </c>
      <c r="G93">
        <v>0.91299999999999992</v>
      </c>
      <c r="H93">
        <v>0.8</v>
      </c>
      <c r="I93">
        <v>0</v>
      </c>
      <c r="J93">
        <v>5</v>
      </c>
      <c r="K93">
        <v>838250.32</v>
      </c>
      <c r="L93">
        <v>122939.34</v>
      </c>
    </row>
    <row r="94" spans="1:12">
      <c r="A94" t="s">
        <v>27</v>
      </c>
      <c r="B94" t="s">
        <v>16</v>
      </c>
      <c r="C94">
        <v>9534.65</v>
      </c>
      <c r="D94">
        <v>6057</v>
      </c>
      <c r="E94">
        <v>7.3999999999999996E-2</v>
      </c>
      <c r="F94">
        <v>15</v>
      </c>
      <c r="G94">
        <v>0.94099999999999995</v>
      </c>
      <c r="H94">
        <v>5.79</v>
      </c>
      <c r="I94">
        <v>0</v>
      </c>
      <c r="J94">
        <v>4.5</v>
      </c>
      <c r="K94">
        <v>607898.12</v>
      </c>
      <c r="L94">
        <v>135404.85</v>
      </c>
    </row>
    <row r="95" spans="1:12">
      <c r="A95" t="s">
        <v>27</v>
      </c>
      <c r="B95" t="s">
        <v>28</v>
      </c>
      <c r="C95">
        <v>61132.07</v>
      </c>
      <c r="D95">
        <v>6394</v>
      </c>
      <c r="E95">
        <v>0.16300000000000001</v>
      </c>
      <c r="F95">
        <v>19</v>
      </c>
      <c r="G95">
        <v>0.91</v>
      </c>
      <c r="H95">
        <v>19.600000000000001</v>
      </c>
      <c r="I95">
        <v>0</v>
      </c>
      <c r="J95">
        <v>4.4000000000000004</v>
      </c>
      <c r="K95">
        <v>691113.62</v>
      </c>
      <c r="L95">
        <v>135145.44</v>
      </c>
    </row>
    <row r="96" spans="1:12">
      <c r="A96" t="s">
        <v>27</v>
      </c>
      <c r="B96" t="s">
        <v>28</v>
      </c>
      <c r="C96">
        <v>78839.39</v>
      </c>
      <c r="D96">
        <v>5150</v>
      </c>
      <c r="E96">
        <v>0.17100000000000001</v>
      </c>
      <c r="F96">
        <v>13</v>
      </c>
      <c r="G96">
        <v>0.85799999999999998</v>
      </c>
      <c r="H96">
        <v>7.57</v>
      </c>
      <c r="I96">
        <v>0</v>
      </c>
      <c r="J96">
        <v>4.3</v>
      </c>
      <c r="K96">
        <v>735509.4</v>
      </c>
      <c r="L96">
        <v>83895.96</v>
      </c>
    </row>
    <row r="97" spans="1:12">
      <c r="A97" t="s">
        <v>27</v>
      </c>
      <c r="B97" t="s">
        <v>28</v>
      </c>
      <c r="C97">
        <v>55101.1</v>
      </c>
      <c r="D97">
        <v>5281</v>
      </c>
      <c r="E97">
        <v>0.189</v>
      </c>
      <c r="F97">
        <v>11</v>
      </c>
      <c r="G97">
        <v>0.91</v>
      </c>
      <c r="H97">
        <v>2.7</v>
      </c>
      <c r="I97">
        <v>0</v>
      </c>
      <c r="J97">
        <v>4.4000000000000004</v>
      </c>
      <c r="K97">
        <v>675177.68</v>
      </c>
      <c r="L97">
        <v>105628.68</v>
      </c>
    </row>
    <row r="98" spans="1:12">
      <c r="A98" t="s">
        <v>15</v>
      </c>
      <c r="B98" t="s">
        <v>28</v>
      </c>
      <c r="C98">
        <v>53084.76</v>
      </c>
      <c r="D98">
        <v>3642</v>
      </c>
      <c r="E98">
        <v>0.15</v>
      </c>
      <c r="F98">
        <v>12</v>
      </c>
      <c r="G98">
        <v>0.91400000000000003</v>
      </c>
      <c r="H98">
        <v>0.2</v>
      </c>
      <c r="I98">
        <v>0</v>
      </c>
      <c r="J98">
        <v>4.4000000000000004</v>
      </c>
      <c r="K98">
        <v>635181.35</v>
      </c>
      <c r="L98">
        <v>83341.25</v>
      </c>
    </row>
    <row r="99" spans="1:12">
      <c r="A99" t="s">
        <v>15</v>
      </c>
      <c r="B99" t="s">
        <v>28</v>
      </c>
      <c r="C99">
        <v>63101.59</v>
      </c>
      <c r="D99">
        <v>4373</v>
      </c>
      <c r="E99">
        <v>0.17299999999999999</v>
      </c>
      <c r="F99">
        <v>14</v>
      </c>
      <c r="G99">
        <v>0.90400000000000003</v>
      </c>
      <c r="H99">
        <v>7.87</v>
      </c>
      <c r="I99">
        <v>0</v>
      </c>
      <c r="J99">
        <v>4.7</v>
      </c>
      <c r="K99">
        <v>586626.93999999994</v>
      </c>
      <c r="L99">
        <v>86498.55</v>
      </c>
    </row>
    <row r="100" spans="1:12">
      <c r="A100" t="s">
        <v>15</v>
      </c>
      <c r="B100" t="s">
        <v>28</v>
      </c>
      <c r="C100">
        <v>90084.4</v>
      </c>
      <c r="D100">
        <v>6832</v>
      </c>
      <c r="E100">
        <v>0.185</v>
      </c>
      <c r="F100">
        <v>14</v>
      </c>
      <c r="G100">
        <v>0.80500000000000005</v>
      </c>
      <c r="H100">
        <v>0.77</v>
      </c>
      <c r="I100">
        <v>1</v>
      </c>
      <c r="J100">
        <v>4.4000000000000004</v>
      </c>
      <c r="K100">
        <v>740102.64</v>
      </c>
      <c r="L100">
        <v>114299.07</v>
      </c>
    </row>
    <row r="101" spans="1:12">
      <c r="A101" t="s">
        <v>15</v>
      </c>
      <c r="B101" t="s">
        <v>28</v>
      </c>
      <c r="C101">
        <v>32266.639999999999</v>
      </c>
      <c r="D101">
        <v>2414</v>
      </c>
      <c r="E101">
        <v>0.08</v>
      </c>
      <c r="F101">
        <v>7</v>
      </c>
      <c r="G101">
        <v>0.92099999999999993</v>
      </c>
      <c r="H101">
        <v>1.48</v>
      </c>
      <c r="I101">
        <v>0</v>
      </c>
      <c r="J101">
        <v>5</v>
      </c>
      <c r="K101">
        <v>625514.04</v>
      </c>
      <c r="L101">
        <v>120685.08</v>
      </c>
    </row>
    <row r="102" spans="1:12">
      <c r="A102" t="s">
        <v>27</v>
      </c>
      <c r="B102" t="s">
        <v>18</v>
      </c>
      <c r="C102">
        <v>57919.07</v>
      </c>
      <c r="D102">
        <v>7374</v>
      </c>
      <c r="E102">
        <v>0.10299999999999999</v>
      </c>
      <c r="F102">
        <v>21</v>
      </c>
      <c r="G102">
        <v>0.82299999999999995</v>
      </c>
      <c r="H102">
        <v>2.87</v>
      </c>
      <c r="I102">
        <v>0</v>
      </c>
      <c r="J102">
        <v>2.9</v>
      </c>
      <c r="K102">
        <v>727227.2</v>
      </c>
      <c r="L102">
        <v>121292.01</v>
      </c>
    </row>
    <row r="103" spans="1:12">
      <c r="A103" t="s">
        <v>27</v>
      </c>
      <c r="B103" t="s">
        <v>18</v>
      </c>
      <c r="C103">
        <v>74679.350000000006</v>
      </c>
      <c r="D103">
        <v>8739</v>
      </c>
      <c r="E103">
        <v>5.6000000000000001E-2</v>
      </c>
      <c r="F103">
        <v>21</v>
      </c>
      <c r="G103">
        <v>0.91799999999999993</v>
      </c>
      <c r="H103">
        <v>2.83</v>
      </c>
      <c r="I103">
        <v>0</v>
      </c>
      <c r="J103">
        <v>3</v>
      </c>
      <c r="K103">
        <v>783797.89</v>
      </c>
      <c r="L103">
        <v>157620.70000000001</v>
      </c>
    </row>
    <row r="104" spans="1:12">
      <c r="A104" t="s">
        <v>27</v>
      </c>
      <c r="B104" t="s">
        <v>18</v>
      </c>
      <c r="C104">
        <v>64294.23</v>
      </c>
      <c r="D104">
        <v>6992</v>
      </c>
      <c r="E104">
        <v>0.13300000000000001</v>
      </c>
      <c r="F104">
        <v>14</v>
      </c>
      <c r="G104">
        <v>0.94099999999999995</v>
      </c>
      <c r="H104">
        <v>0.25</v>
      </c>
      <c r="I104">
        <v>0</v>
      </c>
      <c r="J104">
        <v>3</v>
      </c>
      <c r="K104">
        <v>795153.84</v>
      </c>
      <c r="L104">
        <v>143194.21</v>
      </c>
    </row>
    <row r="105" spans="1:12">
      <c r="A105" t="s">
        <v>27</v>
      </c>
      <c r="B105" t="s">
        <v>18</v>
      </c>
      <c r="C105">
        <v>31042.03</v>
      </c>
      <c r="D105">
        <v>7107</v>
      </c>
      <c r="E105">
        <v>5.0999999999999997E-2</v>
      </c>
      <c r="F105">
        <v>15</v>
      </c>
      <c r="G105">
        <v>0.87</v>
      </c>
      <c r="H105">
        <v>13.33</v>
      </c>
      <c r="I105">
        <v>0</v>
      </c>
      <c r="J105">
        <v>3.2</v>
      </c>
      <c r="K105">
        <v>665594.93999999994</v>
      </c>
      <c r="L105">
        <v>127597.34</v>
      </c>
    </row>
    <row r="106" spans="1:12">
      <c r="A106" t="s">
        <v>15</v>
      </c>
      <c r="B106" t="s">
        <v>28</v>
      </c>
      <c r="C106">
        <v>75265.02</v>
      </c>
      <c r="D106">
        <v>6975</v>
      </c>
      <c r="E106">
        <v>0.157</v>
      </c>
      <c r="F106">
        <v>20</v>
      </c>
      <c r="G106">
        <v>0.73799999999999999</v>
      </c>
      <c r="H106">
        <v>6.35</v>
      </c>
      <c r="I106">
        <v>1</v>
      </c>
      <c r="J106">
        <v>3.8</v>
      </c>
      <c r="K106">
        <v>709478.39</v>
      </c>
      <c r="L106">
        <v>71294.27</v>
      </c>
    </row>
    <row r="107" spans="1:12">
      <c r="A107" t="s">
        <v>15</v>
      </c>
      <c r="B107" t="s">
        <v>28</v>
      </c>
      <c r="C107">
        <v>69411.7</v>
      </c>
      <c r="D107">
        <v>5493</v>
      </c>
      <c r="E107">
        <v>0.29199999999999998</v>
      </c>
      <c r="F107">
        <v>13</v>
      </c>
      <c r="G107">
        <v>0.86499999999999999</v>
      </c>
      <c r="H107">
        <v>6.69</v>
      </c>
      <c r="I107">
        <v>0</v>
      </c>
      <c r="J107">
        <v>3.8</v>
      </c>
      <c r="K107">
        <v>664162.49</v>
      </c>
      <c r="L107">
        <v>98291.06</v>
      </c>
    </row>
    <row r="108" spans="1:12">
      <c r="A108" t="s">
        <v>15</v>
      </c>
      <c r="B108" t="s">
        <v>28</v>
      </c>
      <c r="C108">
        <v>51056.15</v>
      </c>
      <c r="D108">
        <v>5686</v>
      </c>
      <c r="E108">
        <v>8.8999999999999996E-2</v>
      </c>
      <c r="F108">
        <v>13</v>
      </c>
      <c r="G108">
        <v>0.89900000000000002</v>
      </c>
      <c r="H108">
        <v>1.28</v>
      </c>
      <c r="I108">
        <v>0</v>
      </c>
      <c r="J108">
        <v>4.2</v>
      </c>
      <c r="K108">
        <v>633494.21</v>
      </c>
      <c r="L108">
        <v>105739.47</v>
      </c>
    </row>
    <row r="109" spans="1:12">
      <c r="A109" t="s">
        <v>15</v>
      </c>
      <c r="B109" t="s">
        <v>28</v>
      </c>
      <c r="C109">
        <v>52758.01</v>
      </c>
      <c r="D109">
        <v>4063</v>
      </c>
      <c r="E109">
        <v>5.7000000000000002E-2</v>
      </c>
      <c r="F109">
        <v>12</v>
      </c>
      <c r="G109">
        <v>0.91700000000000004</v>
      </c>
      <c r="H109">
        <v>0.92</v>
      </c>
      <c r="I109">
        <v>0</v>
      </c>
      <c r="J109">
        <v>3.5</v>
      </c>
      <c r="K109">
        <v>713611.16</v>
      </c>
      <c r="L109">
        <v>129717.18</v>
      </c>
    </row>
    <row r="110" spans="1:12">
      <c r="A110" t="s">
        <v>27</v>
      </c>
      <c r="B110" t="s">
        <v>28</v>
      </c>
      <c r="C110">
        <v>61426.04</v>
      </c>
      <c r="D110">
        <v>8966</v>
      </c>
      <c r="E110">
        <v>0.17299999999999999</v>
      </c>
      <c r="F110">
        <v>22</v>
      </c>
      <c r="G110">
        <v>0.76400000000000001</v>
      </c>
      <c r="H110">
        <v>1.05</v>
      </c>
      <c r="I110">
        <v>0</v>
      </c>
      <c r="J110">
        <v>3.1</v>
      </c>
      <c r="K110">
        <v>778397.97</v>
      </c>
      <c r="L110">
        <v>120044.41</v>
      </c>
    </row>
    <row r="111" spans="1:12">
      <c r="A111" t="s">
        <v>27</v>
      </c>
      <c r="B111" t="s">
        <v>28</v>
      </c>
      <c r="C111">
        <v>80176.34</v>
      </c>
      <c r="D111">
        <v>9489</v>
      </c>
      <c r="E111">
        <v>0.14199999999999999</v>
      </c>
      <c r="F111">
        <v>22</v>
      </c>
      <c r="G111">
        <v>0.94299999999999995</v>
      </c>
      <c r="H111">
        <v>2.67</v>
      </c>
      <c r="I111">
        <v>0</v>
      </c>
      <c r="J111">
        <v>3.5</v>
      </c>
      <c r="K111">
        <v>873380.02</v>
      </c>
      <c r="L111">
        <v>149734.76</v>
      </c>
    </row>
    <row r="112" spans="1:12">
      <c r="A112" t="s">
        <v>27</v>
      </c>
      <c r="B112" t="s">
        <v>28</v>
      </c>
      <c r="C112">
        <v>33605.18</v>
      </c>
      <c r="D112">
        <v>9225</v>
      </c>
      <c r="E112">
        <v>0.159</v>
      </c>
      <c r="F112">
        <v>23</v>
      </c>
      <c r="G112">
        <v>0.88400000000000001</v>
      </c>
      <c r="H112">
        <v>5.91</v>
      </c>
      <c r="I112">
        <v>0</v>
      </c>
      <c r="J112">
        <v>2.8</v>
      </c>
      <c r="K112">
        <v>697287.9</v>
      </c>
      <c r="L112">
        <v>128208.33</v>
      </c>
    </row>
    <row r="113" spans="1:12">
      <c r="A113" t="s">
        <v>27</v>
      </c>
      <c r="B113" t="s">
        <v>28</v>
      </c>
      <c r="C113">
        <v>25990.54</v>
      </c>
      <c r="D113">
        <v>9249</v>
      </c>
      <c r="E113">
        <v>0.13900000000000001</v>
      </c>
      <c r="F113">
        <v>23</v>
      </c>
      <c r="G113">
        <v>0.92500000000000004</v>
      </c>
      <c r="H113">
        <v>6.37</v>
      </c>
      <c r="I113">
        <v>0</v>
      </c>
      <c r="J113">
        <v>3.3</v>
      </c>
      <c r="K113">
        <v>718074.79</v>
      </c>
      <c r="L113">
        <v>115819.87</v>
      </c>
    </row>
    <row r="114" spans="1:12">
      <c r="A114" t="s">
        <v>27</v>
      </c>
      <c r="B114" t="s">
        <v>16</v>
      </c>
      <c r="C114">
        <v>43685.14</v>
      </c>
      <c r="D114">
        <v>7821</v>
      </c>
      <c r="E114">
        <v>0.19</v>
      </c>
      <c r="F114">
        <v>17</v>
      </c>
      <c r="G114">
        <v>0.91</v>
      </c>
      <c r="H114">
        <v>2.4900000000000002</v>
      </c>
      <c r="I114">
        <v>1</v>
      </c>
      <c r="J114">
        <v>4.7</v>
      </c>
      <c r="K114">
        <v>714942.43</v>
      </c>
      <c r="L114">
        <v>94697.71</v>
      </c>
    </row>
    <row r="115" spans="1:12">
      <c r="A115" t="s">
        <v>27</v>
      </c>
      <c r="B115" t="s">
        <v>16</v>
      </c>
      <c r="C115">
        <v>57360.01</v>
      </c>
      <c r="D115">
        <v>8434</v>
      </c>
      <c r="E115">
        <v>0.151</v>
      </c>
      <c r="F115">
        <v>19</v>
      </c>
      <c r="G115">
        <v>0.84099999999999997</v>
      </c>
      <c r="H115">
        <v>1.56</v>
      </c>
      <c r="I115">
        <v>0</v>
      </c>
      <c r="J115">
        <v>4.7</v>
      </c>
      <c r="K115">
        <v>820519.04</v>
      </c>
      <c r="L115">
        <v>99035.88</v>
      </c>
    </row>
    <row r="116" spans="1:12">
      <c r="A116" t="s">
        <v>27</v>
      </c>
      <c r="B116" t="s">
        <v>16</v>
      </c>
      <c r="C116">
        <v>42415.47</v>
      </c>
      <c r="D116">
        <v>8512</v>
      </c>
      <c r="E116">
        <v>0.13300000000000001</v>
      </c>
      <c r="F116">
        <v>18</v>
      </c>
      <c r="G116">
        <v>0.96799999999999997</v>
      </c>
      <c r="H116">
        <v>14.95</v>
      </c>
      <c r="I116">
        <v>0</v>
      </c>
      <c r="J116">
        <v>4.5999999999999996</v>
      </c>
      <c r="K116">
        <v>684217.32</v>
      </c>
      <c r="L116">
        <v>136217.19</v>
      </c>
    </row>
    <row r="117" spans="1:12">
      <c r="A117" t="s">
        <v>27</v>
      </c>
      <c r="B117" t="s">
        <v>16</v>
      </c>
      <c r="C117">
        <v>54968.98</v>
      </c>
      <c r="D117">
        <v>7816</v>
      </c>
      <c r="E117">
        <v>0.23200000000000001</v>
      </c>
      <c r="F117">
        <v>19</v>
      </c>
      <c r="G117">
        <v>0.95700000000000007</v>
      </c>
      <c r="H117">
        <v>7.85</v>
      </c>
      <c r="I117">
        <v>0</v>
      </c>
      <c r="J117">
        <v>4.7</v>
      </c>
      <c r="K117">
        <v>735480.19</v>
      </c>
      <c r="L117">
        <v>88342.11</v>
      </c>
    </row>
    <row r="118" spans="1:12">
      <c r="A118" t="s">
        <v>20</v>
      </c>
      <c r="B118" t="s">
        <v>18</v>
      </c>
      <c r="C118">
        <v>43896.13</v>
      </c>
      <c r="D118">
        <v>3853</v>
      </c>
      <c r="E118">
        <v>8.7999999999999995E-2</v>
      </c>
      <c r="F118">
        <v>13</v>
      </c>
      <c r="G118">
        <v>0.83</v>
      </c>
      <c r="H118">
        <v>6.8</v>
      </c>
      <c r="I118">
        <v>0</v>
      </c>
      <c r="J118">
        <v>4.4000000000000004</v>
      </c>
      <c r="K118">
        <v>509484.81</v>
      </c>
      <c r="L118">
        <v>85742.36</v>
      </c>
    </row>
    <row r="119" spans="1:12">
      <c r="A119" t="s">
        <v>20</v>
      </c>
      <c r="B119" t="s">
        <v>18</v>
      </c>
      <c r="C119">
        <v>83044.17</v>
      </c>
      <c r="D119">
        <v>3694</v>
      </c>
      <c r="E119">
        <v>0</v>
      </c>
      <c r="F119">
        <v>14</v>
      </c>
      <c r="G119">
        <v>0.89400000000000002</v>
      </c>
      <c r="H119">
        <v>2.2000000000000002</v>
      </c>
      <c r="I119">
        <v>0</v>
      </c>
      <c r="J119">
        <v>3.7</v>
      </c>
      <c r="K119">
        <v>654317.09</v>
      </c>
      <c r="L119">
        <v>121446.89</v>
      </c>
    </row>
    <row r="120" spans="1:12">
      <c r="A120" t="s">
        <v>20</v>
      </c>
      <c r="B120" t="s">
        <v>18</v>
      </c>
      <c r="C120">
        <v>48396.13</v>
      </c>
      <c r="D120">
        <v>4423</v>
      </c>
      <c r="E120">
        <v>6.9000000000000006E-2</v>
      </c>
      <c r="F120">
        <v>15</v>
      </c>
      <c r="G120">
        <v>0.85699999999999998</v>
      </c>
      <c r="H120">
        <v>1.88</v>
      </c>
      <c r="I120">
        <v>0</v>
      </c>
      <c r="J120">
        <v>3.9</v>
      </c>
      <c r="K120">
        <v>557487.26</v>
      </c>
      <c r="L120">
        <v>76432.19</v>
      </c>
    </row>
    <row r="121" spans="1:12">
      <c r="A121" t="s">
        <v>20</v>
      </c>
      <c r="B121" t="s">
        <v>18</v>
      </c>
      <c r="C121">
        <v>19063.48</v>
      </c>
      <c r="D121">
        <v>1906</v>
      </c>
      <c r="E121">
        <v>0.216</v>
      </c>
      <c r="F121">
        <v>10</v>
      </c>
      <c r="G121">
        <v>0.97799999999999998</v>
      </c>
      <c r="H121">
        <v>15.79</v>
      </c>
      <c r="I121">
        <v>0</v>
      </c>
      <c r="J121">
        <v>4.4000000000000004</v>
      </c>
      <c r="K121">
        <v>441275.42</v>
      </c>
      <c r="L121">
        <v>58234.87</v>
      </c>
    </row>
    <row r="122" spans="1:12">
      <c r="A122" t="s">
        <v>24</v>
      </c>
      <c r="B122" t="s">
        <v>18</v>
      </c>
      <c r="C122">
        <v>61541.21</v>
      </c>
      <c r="D122">
        <v>10396</v>
      </c>
      <c r="E122">
        <v>0.123</v>
      </c>
      <c r="F122">
        <v>25</v>
      </c>
      <c r="G122">
        <v>0.88099999999999989</v>
      </c>
      <c r="H122">
        <v>2.34</v>
      </c>
      <c r="I122">
        <v>1</v>
      </c>
      <c r="J122">
        <v>4.8</v>
      </c>
      <c r="K122">
        <v>914544.17</v>
      </c>
      <c r="L122">
        <v>79831.73</v>
      </c>
    </row>
    <row r="123" spans="1:12">
      <c r="A123" t="s">
        <v>24</v>
      </c>
      <c r="B123" t="s">
        <v>18</v>
      </c>
      <c r="C123">
        <v>44747</v>
      </c>
      <c r="D123">
        <v>11076</v>
      </c>
      <c r="E123">
        <v>0.17599999999999999</v>
      </c>
      <c r="F123">
        <v>27</v>
      </c>
      <c r="G123">
        <v>0.98299999999999998</v>
      </c>
      <c r="H123">
        <v>0.54</v>
      </c>
      <c r="I123">
        <v>0</v>
      </c>
      <c r="J123">
        <v>4.4000000000000004</v>
      </c>
      <c r="K123">
        <v>842439.67</v>
      </c>
      <c r="L123">
        <v>169983.63</v>
      </c>
    </row>
    <row r="124" spans="1:12">
      <c r="A124" t="s">
        <v>24</v>
      </c>
      <c r="B124" t="s">
        <v>18</v>
      </c>
      <c r="C124">
        <v>56517.9</v>
      </c>
      <c r="D124">
        <v>9574</v>
      </c>
      <c r="E124">
        <v>0.20399999999999999</v>
      </c>
      <c r="F124">
        <v>20</v>
      </c>
      <c r="G124">
        <v>0.88200000000000001</v>
      </c>
      <c r="H124">
        <v>5.37</v>
      </c>
      <c r="I124">
        <v>1</v>
      </c>
      <c r="J124">
        <v>4.9000000000000004</v>
      </c>
      <c r="K124">
        <v>842157.92</v>
      </c>
      <c r="L124">
        <v>107348.22</v>
      </c>
    </row>
    <row r="125" spans="1:12">
      <c r="A125" t="s">
        <v>24</v>
      </c>
      <c r="B125" t="s">
        <v>18</v>
      </c>
      <c r="C125">
        <v>37828.5</v>
      </c>
      <c r="D125">
        <v>8221</v>
      </c>
      <c r="E125">
        <v>9.6000000000000002E-2</v>
      </c>
      <c r="F125">
        <v>19</v>
      </c>
      <c r="G125">
        <v>0.81499999999999995</v>
      </c>
      <c r="H125">
        <v>3.19</v>
      </c>
      <c r="I125">
        <v>0</v>
      </c>
      <c r="J125">
        <v>4.8</v>
      </c>
      <c r="K125">
        <v>697155.3</v>
      </c>
      <c r="L125">
        <v>136408.54</v>
      </c>
    </row>
    <row r="126" spans="1:12">
      <c r="A126" t="s">
        <v>15</v>
      </c>
      <c r="B126" t="s">
        <v>18</v>
      </c>
      <c r="C126">
        <v>66250.53</v>
      </c>
      <c r="D126">
        <v>10618</v>
      </c>
      <c r="E126">
        <v>0.14199999999999999</v>
      </c>
      <c r="F126">
        <v>27</v>
      </c>
      <c r="G126">
        <v>0.88300000000000001</v>
      </c>
      <c r="H126">
        <v>1.1000000000000001</v>
      </c>
      <c r="I126">
        <v>1</v>
      </c>
      <c r="J126">
        <v>4.4000000000000004</v>
      </c>
      <c r="K126">
        <v>849018.3</v>
      </c>
      <c r="L126">
        <v>149035.13</v>
      </c>
    </row>
    <row r="127" spans="1:12">
      <c r="A127" t="s">
        <v>15</v>
      </c>
      <c r="B127" t="s">
        <v>18</v>
      </c>
      <c r="C127">
        <v>68410.929999999993</v>
      </c>
      <c r="D127">
        <v>10596</v>
      </c>
      <c r="E127">
        <v>0.20699999999999999</v>
      </c>
      <c r="F127">
        <v>25</v>
      </c>
      <c r="G127">
        <v>0.81200000000000006</v>
      </c>
      <c r="H127">
        <v>0.21</v>
      </c>
      <c r="I127">
        <v>0</v>
      </c>
      <c r="J127">
        <v>4</v>
      </c>
      <c r="K127">
        <v>801830.35</v>
      </c>
      <c r="L127">
        <v>114875.32</v>
      </c>
    </row>
    <row r="128" spans="1:12">
      <c r="A128" t="s">
        <v>15</v>
      </c>
      <c r="B128" t="s">
        <v>18</v>
      </c>
      <c r="C128">
        <v>50735.63</v>
      </c>
      <c r="D128">
        <v>9619</v>
      </c>
      <c r="E128">
        <v>0.14399999999999999</v>
      </c>
      <c r="F128">
        <v>19</v>
      </c>
      <c r="G128">
        <v>0.93799999999999994</v>
      </c>
      <c r="H128">
        <v>5.12</v>
      </c>
      <c r="I128">
        <v>1</v>
      </c>
      <c r="J128">
        <v>4.5</v>
      </c>
      <c r="K128">
        <v>725235.28</v>
      </c>
      <c r="L128">
        <v>121632.24</v>
      </c>
    </row>
    <row r="129" spans="1:12">
      <c r="A129" t="s">
        <v>15</v>
      </c>
      <c r="B129" t="s">
        <v>18</v>
      </c>
      <c r="C129">
        <v>66455.8</v>
      </c>
      <c r="D129">
        <v>10836</v>
      </c>
      <c r="E129">
        <v>8.8999999999999996E-2</v>
      </c>
      <c r="F129">
        <v>25</v>
      </c>
      <c r="G129">
        <v>0.85</v>
      </c>
      <c r="H129">
        <v>9.77</v>
      </c>
      <c r="I129">
        <v>0</v>
      </c>
      <c r="J129">
        <v>4.5</v>
      </c>
      <c r="K129">
        <v>811452.72</v>
      </c>
      <c r="L129">
        <v>131325.67000000001</v>
      </c>
    </row>
    <row r="130" spans="1:12">
      <c r="A130" t="s">
        <v>20</v>
      </c>
      <c r="B130" t="s">
        <v>18</v>
      </c>
      <c r="C130">
        <v>70276.28</v>
      </c>
      <c r="D130">
        <v>3043</v>
      </c>
      <c r="E130">
        <v>7.9000000000000001E-2</v>
      </c>
      <c r="F130">
        <v>9</v>
      </c>
      <c r="G130">
        <v>0.879</v>
      </c>
      <c r="H130">
        <v>3.77</v>
      </c>
      <c r="I130">
        <v>0</v>
      </c>
      <c r="J130">
        <v>4.4000000000000004</v>
      </c>
      <c r="K130">
        <v>527300.13</v>
      </c>
      <c r="L130">
        <v>84197.87</v>
      </c>
    </row>
    <row r="131" spans="1:12">
      <c r="A131" t="s">
        <v>20</v>
      </c>
      <c r="B131" t="s">
        <v>18</v>
      </c>
      <c r="C131">
        <v>52285.45</v>
      </c>
      <c r="D131">
        <v>3618</v>
      </c>
      <c r="E131">
        <v>8.5999999999999993E-2</v>
      </c>
      <c r="F131">
        <v>11</v>
      </c>
      <c r="G131">
        <v>0.95599999999999996</v>
      </c>
      <c r="H131">
        <v>5.17</v>
      </c>
      <c r="I131">
        <v>1</v>
      </c>
      <c r="J131">
        <v>4.4000000000000004</v>
      </c>
      <c r="K131">
        <v>593247.25</v>
      </c>
      <c r="L131">
        <v>81240.289999999994</v>
      </c>
    </row>
    <row r="132" spans="1:12">
      <c r="A132" t="s">
        <v>20</v>
      </c>
      <c r="B132" t="s">
        <v>18</v>
      </c>
      <c r="C132">
        <v>70366.759999999995</v>
      </c>
      <c r="D132">
        <v>1963</v>
      </c>
      <c r="E132">
        <v>0.182</v>
      </c>
      <c r="F132">
        <v>8</v>
      </c>
      <c r="G132">
        <v>0.89800000000000002</v>
      </c>
      <c r="H132">
        <v>3.2</v>
      </c>
      <c r="I132">
        <v>0</v>
      </c>
      <c r="J132">
        <v>4.5999999999999996</v>
      </c>
      <c r="K132">
        <v>529075.94999999995</v>
      </c>
      <c r="L132">
        <v>95978.83</v>
      </c>
    </row>
    <row r="133" spans="1:12">
      <c r="A133" t="s">
        <v>24</v>
      </c>
      <c r="B133" t="s">
        <v>16</v>
      </c>
      <c r="C133">
        <v>75109.67</v>
      </c>
      <c r="D133">
        <v>6244</v>
      </c>
      <c r="E133">
        <v>7.9000000000000001E-2</v>
      </c>
      <c r="F133">
        <v>15</v>
      </c>
      <c r="G133">
        <v>0.96299999999999997</v>
      </c>
      <c r="H133">
        <v>7.38</v>
      </c>
      <c r="I133">
        <v>0</v>
      </c>
      <c r="J133">
        <v>3.7</v>
      </c>
      <c r="K133">
        <v>743348.84</v>
      </c>
      <c r="L133">
        <v>104186.09</v>
      </c>
    </row>
    <row r="134" spans="1:12">
      <c r="A134" t="s">
        <v>24</v>
      </c>
      <c r="B134" t="s">
        <v>16</v>
      </c>
      <c r="C134">
        <v>69779</v>
      </c>
      <c r="D134">
        <v>6544</v>
      </c>
      <c r="E134">
        <v>0.152</v>
      </c>
      <c r="F134">
        <v>18</v>
      </c>
      <c r="G134">
        <v>0.90200000000000002</v>
      </c>
      <c r="H134">
        <v>0.85</v>
      </c>
      <c r="I134">
        <v>1</v>
      </c>
      <c r="J134">
        <v>3.3</v>
      </c>
      <c r="K134">
        <v>758827.64</v>
      </c>
      <c r="L134">
        <v>161439.48000000001</v>
      </c>
    </row>
    <row r="135" spans="1:12">
      <c r="A135" t="s">
        <v>24</v>
      </c>
      <c r="B135" t="s">
        <v>16</v>
      </c>
      <c r="C135">
        <v>44211.95</v>
      </c>
      <c r="D135">
        <v>5465</v>
      </c>
      <c r="E135">
        <v>0.187</v>
      </c>
      <c r="F135">
        <v>12</v>
      </c>
      <c r="G135">
        <v>0.9</v>
      </c>
      <c r="H135">
        <v>2.89</v>
      </c>
      <c r="I135">
        <v>0</v>
      </c>
      <c r="J135">
        <v>3.6</v>
      </c>
      <c r="K135">
        <v>646559.71</v>
      </c>
      <c r="L135">
        <v>97981.75</v>
      </c>
    </row>
    <row r="136" spans="1:12">
      <c r="A136" t="s">
        <v>27</v>
      </c>
      <c r="B136" t="s">
        <v>18</v>
      </c>
      <c r="C136">
        <v>51430.31</v>
      </c>
      <c r="D136">
        <v>6427</v>
      </c>
      <c r="E136">
        <v>0.23400000000000001</v>
      </c>
      <c r="F136">
        <v>14</v>
      </c>
      <c r="G136">
        <v>0.88800000000000001</v>
      </c>
      <c r="H136">
        <v>0.77</v>
      </c>
      <c r="I136">
        <v>0</v>
      </c>
      <c r="J136">
        <v>4.0999999999999996</v>
      </c>
      <c r="K136">
        <v>715890.53</v>
      </c>
      <c r="L136">
        <v>109032.15</v>
      </c>
    </row>
    <row r="137" spans="1:12">
      <c r="A137" t="s">
        <v>27</v>
      </c>
      <c r="B137" t="s">
        <v>18</v>
      </c>
      <c r="C137">
        <v>45706.49</v>
      </c>
      <c r="D137">
        <v>6704</v>
      </c>
      <c r="E137">
        <v>3.7999999999999999E-2</v>
      </c>
      <c r="F137">
        <v>15</v>
      </c>
      <c r="G137">
        <v>0.94200000000000006</v>
      </c>
      <c r="H137">
        <v>2.92</v>
      </c>
      <c r="I137">
        <v>0</v>
      </c>
      <c r="J137">
        <v>4.2</v>
      </c>
      <c r="K137">
        <v>715097.57</v>
      </c>
      <c r="L137">
        <v>151875.85999999999</v>
      </c>
    </row>
    <row r="138" spans="1:12">
      <c r="A138" t="s">
        <v>27</v>
      </c>
      <c r="B138" t="s">
        <v>18</v>
      </c>
      <c r="C138">
        <v>44034.6</v>
      </c>
      <c r="D138">
        <v>5645</v>
      </c>
      <c r="E138">
        <v>6.9000000000000006E-2</v>
      </c>
      <c r="F138">
        <v>18</v>
      </c>
      <c r="G138">
        <v>0.88500000000000001</v>
      </c>
      <c r="H138">
        <v>3.07</v>
      </c>
      <c r="I138">
        <v>0</v>
      </c>
      <c r="J138">
        <v>3.8</v>
      </c>
      <c r="K138">
        <v>682639.28</v>
      </c>
      <c r="L138">
        <v>77557.53</v>
      </c>
    </row>
    <row r="139" spans="1:12">
      <c r="A139" t="s">
        <v>27</v>
      </c>
      <c r="B139" t="s">
        <v>18</v>
      </c>
      <c r="C139">
        <v>50198.12</v>
      </c>
      <c r="D139">
        <v>6089</v>
      </c>
      <c r="E139">
        <v>0.182</v>
      </c>
      <c r="F139">
        <v>19</v>
      </c>
      <c r="G139">
        <v>0.94</v>
      </c>
      <c r="H139">
        <v>9.6999999999999993</v>
      </c>
      <c r="I139">
        <v>0</v>
      </c>
      <c r="J139">
        <v>3.9</v>
      </c>
      <c r="K139">
        <v>695098.51</v>
      </c>
      <c r="L139">
        <v>108192.75</v>
      </c>
    </row>
    <row r="140" spans="1:12">
      <c r="A140" t="s">
        <v>20</v>
      </c>
      <c r="B140" t="s">
        <v>16</v>
      </c>
      <c r="C140">
        <v>70488.2</v>
      </c>
      <c r="D140">
        <v>4312</v>
      </c>
      <c r="E140">
        <v>0.16900000000000001</v>
      </c>
      <c r="F140">
        <v>12</v>
      </c>
      <c r="G140">
        <v>0.90200000000000002</v>
      </c>
      <c r="H140">
        <v>3.71</v>
      </c>
      <c r="I140">
        <v>0</v>
      </c>
      <c r="J140">
        <v>3.2</v>
      </c>
      <c r="K140">
        <v>577732.56999999995</v>
      </c>
      <c r="L140">
        <v>93804.27</v>
      </c>
    </row>
    <row r="141" spans="1:12">
      <c r="A141" t="s">
        <v>20</v>
      </c>
      <c r="B141" t="s">
        <v>16</v>
      </c>
      <c r="C141">
        <v>50909.27</v>
      </c>
      <c r="D141">
        <v>3152</v>
      </c>
      <c r="E141">
        <v>0.06</v>
      </c>
      <c r="F141">
        <v>13</v>
      </c>
      <c r="G141">
        <v>0.93700000000000006</v>
      </c>
      <c r="H141">
        <v>10.79</v>
      </c>
      <c r="I141">
        <v>0</v>
      </c>
      <c r="J141">
        <v>3.5</v>
      </c>
      <c r="K141">
        <v>537058.32999999996</v>
      </c>
      <c r="L141">
        <v>93555.71</v>
      </c>
    </row>
    <row r="142" spans="1:12">
      <c r="A142" t="s">
        <v>20</v>
      </c>
      <c r="B142" t="s">
        <v>16</v>
      </c>
      <c r="C142">
        <v>53351.7</v>
      </c>
      <c r="D142">
        <v>4259</v>
      </c>
      <c r="E142">
        <v>0.156</v>
      </c>
      <c r="F142">
        <v>15</v>
      </c>
      <c r="G142">
        <v>0.93700000000000006</v>
      </c>
      <c r="H142">
        <v>6.03</v>
      </c>
      <c r="I142">
        <v>0</v>
      </c>
      <c r="J142">
        <v>3.4</v>
      </c>
      <c r="K142">
        <v>601568.87</v>
      </c>
      <c r="L142">
        <v>91634.82</v>
      </c>
    </row>
    <row r="143" spans="1:12">
      <c r="A143" t="s">
        <v>20</v>
      </c>
      <c r="B143" t="s">
        <v>16</v>
      </c>
      <c r="C143">
        <v>60322.400000000001</v>
      </c>
      <c r="D143">
        <v>3350</v>
      </c>
      <c r="E143">
        <v>0.108</v>
      </c>
      <c r="F143">
        <v>12</v>
      </c>
      <c r="G143">
        <v>0.89400000000000002</v>
      </c>
      <c r="H143">
        <v>4.92</v>
      </c>
      <c r="I143">
        <v>0</v>
      </c>
      <c r="J143">
        <v>3.4</v>
      </c>
      <c r="K143">
        <v>570964.84</v>
      </c>
      <c r="L143">
        <v>81331.070000000007</v>
      </c>
    </row>
    <row r="144" spans="1:12">
      <c r="A144" t="s">
        <v>24</v>
      </c>
      <c r="B144" t="s">
        <v>28</v>
      </c>
      <c r="C144">
        <v>51575.68</v>
      </c>
      <c r="D144">
        <v>5329</v>
      </c>
      <c r="E144">
        <v>4.7E-2</v>
      </c>
      <c r="F144">
        <v>17</v>
      </c>
      <c r="G144">
        <v>0.88099999999999989</v>
      </c>
      <c r="H144">
        <v>19.78</v>
      </c>
      <c r="I144">
        <v>0</v>
      </c>
      <c r="J144">
        <v>3.8</v>
      </c>
      <c r="K144">
        <v>614024.91</v>
      </c>
      <c r="L144">
        <v>84828.93</v>
      </c>
    </row>
    <row r="145" spans="1:12">
      <c r="A145" t="s">
        <v>24</v>
      </c>
      <c r="B145" t="s">
        <v>28</v>
      </c>
      <c r="C145">
        <v>43319.94</v>
      </c>
      <c r="D145">
        <v>6551</v>
      </c>
      <c r="E145">
        <v>4.3999999999999997E-2</v>
      </c>
      <c r="F145">
        <v>13</v>
      </c>
      <c r="G145">
        <v>0.99</v>
      </c>
      <c r="H145">
        <v>5.45</v>
      </c>
      <c r="I145">
        <v>0</v>
      </c>
      <c r="J145">
        <v>4.0999999999999996</v>
      </c>
      <c r="K145">
        <v>712868.35</v>
      </c>
      <c r="L145">
        <v>133650.51</v>
      </c>
    </row>
    <row r="146" spans="1:12">
      <c r="A146" t="s">
        <v>24</v>
      </c>
      <c r="B146" t="s">
        <v>28</v>
      </c>
      <c r="C146">
        <v>47093.55</v>
      </c>
      <c r="D146">
        <v>5550</v>
      </c>
      <c r="E146">
        <v>0.1</v>
      </c>
      <c r="F146">
        <v>12</v>
      </c>
      <c r="G146">
        <v>0.95</v>
      </c>
      <c r="H146">
        <v>2.33</v>
      </c>
      <c r="I146">
        <v>1</v>
      </c>
      <c r="J146">
        <v>3.7</v>
      </c>
      <c r="K146">
        <v>696744.15</v>
      </c>
      <c r="L146">
        <v>152230.09</v>
      </c>
    </row>
    <row r="147" spans="1:12">
      <c r="A147" t="s">
        <v>24</v>
      </c>
      <c r="B147" t="s">
        <v>28</v>
      </c>
      <c r="C147">
        <v>71855.09</v>
      </c>
      <c r="D147">
        <v>5911</v>
      </c>
      <c r="E147">
        <v>0.19700000000000001</v>
      </c>
      <c r="F147">
        <v>15</v>
      </c>
      <c r="G147">
        <v>0.94299999999999995</v>
      </c>
      <c r="H147">
        <v>3.55</v>
      </c>
      <c r="I147">
        <v>0</v>
      </c>
      <c r="J147">
        <v>4.0999999999999996</v>
      </c>
      <c r="K147">
        <v>725847.99</v>
      </c>
      <c r="L147">
        <v>122698.73</v>
      </c>
    </row>
    <row r="148" spans="1:12">
      <c r="A148" t="s">
        <v>15</v>
      </c>
      <c r="B148" t="s">
        <v>18</v>
      </c>
      <c r="C148">
        <v>75645.23</v>
      </c>
      <c r="D148">
        <v>9674</v>
      </c>
      <c r="E148">
        <v>0.23400000000000001</v>
      </c>
      <c r="F148">
        <v>21</v>
      </c>
      <c r="G148">
        <v>0.87400000000000011</v>
      </c>
      <c r="H148">
        <v>0.2</v>
      </c>
      <c r="I148">
        <v>0</v>
      </c>
      <c r="J148">
        <v>4.5</v>
      </c>
      <c r="K148">
        <v>785028.25</v>
      </c>
      <c r="L148">
        <v>110726.44</v>
      </c>
    </row>
    <row r="149" spans="1:12">
      <c r="A149" t="s">
        <v>15</v>
      </c>
      <c r="B149" t="s">
        <v>18</v>
      </c>
      <c r="C149">
        <v>64374.75</v>
      </c>
      <c r="D149">
        <v>6740</v>
      </c>
      <c r="E149">
        <v>0.16900000000000001</v>
      </c>
      <c r="F149">
        <v>18</v>
      </c>
      <c r="G149">
        <v>0.87</v>
      </c>
      <c r="H149">
        <v>2.09</v>
      </c>
      <c r="I149">
        <v>0</v>
      </c>
      <c r="J149">
        <v>4.2</v>
      </c>
      <c r="K149">
        <v>698492.67</v>
      </c>
      <c r="L149">
        <v>117319.32</v>
      </c>
    </row>
    <row r="150" spans="1:12">
      <c r="A150" t="s">
        <v>15</v>
      </c>
      <c r="B150" t="s">
        <v>18</v>
      </c>
      <c r="C150">
        <v>61433.84</v>
      </c>
      <c r="D150">
        <v>7745</v>
      </c>
      <c r="E150">
        <v>0.18</v>
      </c>
      <c r="F150">
        <v>16</v>
      </c>
      <c r="G150">
        <v>0.90500000000000003</v>
      </c>
      <c r="H150">
        <v>2.2599999999999998</v>
      </c>
      <c r="I150">
        <v>0</v>
      </c>
      <c r="J150">
        <v>4.2</v>
      </c>
      <c r="K150">
        <v>685830.24</v>
      </c>
      <c r="L150">
        <v>128736.18</v>
      </c>
    </row>
    <row r="151" spans="1:12">
      <c r="A151" t="s">
        <v>15</v>
      </c>
      <c r="B151" t="s">
        <v>18</v>
      </c>
      <c r="C151">
        <v>42698.14</v>
      </c>
      <c r="D151">
        <v>7693</v>
      </c>
      <c r="E151">
        <v>0.187</v>
      </c>
      <c r="F151">
        <v>19</v>
      </c>
      <c r="G151">
        <v>0.90099999999999991</v>
      </c>
      <c r="H151">
        <v>0.44</v>
      </c>
      <c r="I151">
        <v>0</v>
      </c>
      <c r="J151">
        <v>4.4000000000000004</v>
      </c>
      <c r="K151">
        <v>702318.94</v>
      </c>
      <c r="L151">
        <v>112829.29</v>
      </c>
    </row>
    <row r="152" spans="1:12">
      <c r="A152" t="s">
        <v>20</v>
      </c>
      <c r="B152" t="s">
        <v>28</v>
      </c>
      <c r="C152">
        <v>86883.31</v>
      </c>
      <c r="D152">
        <v>6424</v>
      </c>
      <c r="E152">
        <v>5.7000000000000002E-2</v>
      </c>
      <c r="F152">
        <v>19</v>
      </c>
      <c r="G152">
        <v>0.85199999999999998</v>
      </c>
      <c r="H152">
        <v>3.08</v>
      </c>
      <c r="I152">
        <v>0</v>
      </c>
      <c r="J152">
        <v>3.9</v>
      </c>
      <c r="K152">
        <v>700078.32</v>
      </c>
      <c r="L152">
        <v>123707.58</v>
      </c>
    </row>
    <row r="153" spans="1:12">
      <c r="A153" t="s">
        <v>20</v>
      </c>
      <c r="B153" t="s">
        <v>28</v>
      </c>
      <c r="C153">
        <v>41863.08</v>
      </c>
      <c r="D153">
        <v>5400</v>
      </c>
      <c r="E153">
        <v>0.114</v>
      </c>
      <c r="F153">
        <v>11</v>
      </c>
      <c r="G153">
        <v>0.91599999999999993</v>
      </c>
      <c r="H153">
        <v>7.99</v>
      </c>
      <c r="I153">
        <v>0</v>
      </c>
      <c r="J153">
        <v>3</v>
      </c>
      <c r="K153">
        <v>602002.31999999995</v>
      </c>
      <c r="L153">
        <v>110453.28</v>
      </c>
    </row>
    <row r="154" spans="1:12">
      <c r="A154" t="s">
        <v>20</v>
      </c>
      <c r="B154" t="s">
        <v>28</v>
      </c>
      <c r="C154">
        <v>56918.16</v>
      </c>
      <c r="D154">
        <v>7015</v>
      </c>
      <c r="E154">
        <v>0.158</v>
      </c>
      <c r="F154">
        <v>18</v>
      </c>
      <c r="G154">
        <v>0.74199999999999999</v>
      </c>
      <c r="H154">
        <v>0.2</v>
      </c>
      <c r="I154">
        <v>0</v>
      </c>
      <c r="J154">
        <v>3.4</v>
      </c>
      <c r="K154">
        <v>724216.07</v>
      </c>
      <c r="L154">
        <v>100627.56</v>
      </c>
    </row>
    <row r="155" spans="1:12">
      <c r="A155" t="s">
        <v>20</v>
      </c>
      <c r="B155" t="s">
        <v>28</v>
      </c>
      <c r="C155">
        <v>23254.57</v>
      </c>
      <c r="D155">
        <v>3847</v>
      </c>
      <c r="E155">
        <v>0.159</v>
      </c>
      <c r="F155">
        <v>12</v>
      </c>
      <c r="G155">
        <v>0.93</v>
      </c>
      <c r="H155">
        <v>5.46</v>
      </c>
      <c r="I155">
        <v>0</v>
      </c>
      <c r="J155">
        <v>3.3</v>
      </c>
      <c r="K155">
        <v>620973.03</v>
      </c>
      <c r="L155">
        <v>72303.850000000006</v>
      </c>
    </row>
    <row r="156" spans="1:12">
      <c r="A156" t="s">
        <v>24</v>
      </c>
      <c r="B156" t="s">
        <v>18</v>
      </c>
      <c r="C156">
        <v>41443.410000000003</v>
      </c>
      <c r="D156">
        <v>7455</v>
      </c>
      <c r="E156">
        <v>0.17499999999999999</v>
      </c>
      <c r="F156">
        <v>16</v>
      </c>
      <c r="G156">
        <v>0.90099999999999991</v>
      </c>
      <c r="H156">
        <v>4.05</v>
      </c>
      <c r="I156">
        <v>0</v>
      </c>
      <c r="J156">
        <v>4</v>
      </c>
      <c r="K156">
        <v>650480.06000000006</v>
      </c>
      <c r="L156">
        <v>109012.07</v>
      </c>
    </row>
    <row r="157" spans="1:12">
      <c r="A157" t="s">
        <v>24</v>
      </c>
      <c r="B157" t="s">
        <v>18</v>
      </c>
      <c r="C157">
        <v>48438.85</v>
      </c>
      <c r="D157">
        <v>6992</v>
      </c>
      <c r="E157">
        <v>3.4000000000000002E-2</v>
      </c>
      <c r="F157">
        <v>20</v>
      </c>
      <c r="G157">
        <v>0.91</v>
      </c>
      <c r="H157">
        <v>4.3600000000000003</v>
      </c>
      <c r="I157">
        <v>0</v>
      </c>
      <c r="J157">
        <v>4.2</v>
      </c>
      <c r="K157">
        <v>778298.88</v>
      </c>
      <c r="L157">
        <v>130076.72</v>
      </c>
    </row>
    <row r="158" spans="1:12">
      <c r="A158" t="s">
        <v>24</v>
      </c>
      <c r="B158" t="s">
        <v>18</v>
      </c>
      <c r="C158">
        <v>66870.62</v>
      </c>
      <c r="D158">
        <v>6055</v>
      </c>
      <c r="E158">
        <v>7.4999999999999997E-2</v>
      </c>
      <c r="F158">
        <v>19</v>
      </c>
      <c r="G158">
        <v>0.93799999999999994</v>
      </c>
      <c r="H158">
        <v>0.54</v>
      </c>
      <c r="I158">
        <v>0</v>
      </c>
      <c r="J158">
        <v>4.3</v>
      </c>
      <c r="K158">
        <v>692008.64</v>
      </c>
      <c r="L158">
        <v>116337.87</v>
      </c>
    </row>
    <row r="159" spans="1:12">
      <c r="A159" t="s">
        <v>20</v>
      </c>
      <c r="B159" t="s">
        <v>28</v>
      </c>
      <c r="C159">
        <v>72150.53</v>
      </c>
      <c r="D159">
        <v>9323</v>
      </c>
      <c r="E159">
        <v>0.157</v>
      </c>
      <c r="F159">
        <v>22</v>
      </c>
      <c r="G159">
        <v>0.82900000000000007</v>
      </c>
      <c r="H159">
        <v>11.37</v>
      </c>
      <c r="I159">
        <v>1</v>
      </c>
      <c r="J159">
        <v>4.3</v>
      </c>
      <c r="K159">
        <v>825797.91</v>
      </c>
      <c r="L159">
        <v>130945.24</v>
      </c>
    </row>
    <row r="160" spans="1:12">
      <c r="A160" t="s">
        <v>20</v>
      </c>
      <c r="B160" t="s">
        <v>28</v>
      </c>
      <c r="C160">
        <v>35303.300000000003</v>
      </c>
      <c r="D160">
        <v>8789</v>
      </c>
      <c r="E160">
        <v>0.123</v>
      </c>
      <c r="F160">
        <v>22</v>
      </c>
      <c r="G160">
        <v>0.86099999999999999</v>
      </c>
      <c r="H160">
        <v>9.43</v>
      </c>
      <c r="I160">
        <v>0</v>
      </c>
      <c r="J160">
        <v>4.2</v>
      </c>
      <c r="K160">
        <v>706285.52</v>
      </c>
      <c r="L160">
        <v>138014.72</v>
      </c>
    </row>
    <row r="161" spans="1:12">
      <c r="A161" t="s">
        <v>20</v>
      </c>
      <c r="B161" t="s">
        <v>28</v>
      </c>
      <c r="C161">
        <v>30301.86</v>
      </c>
      <c r="D161">
        <v>6939</v>
      </c>
      <c r="E161">
        <v>0.09</v>
      </c>
      <c r="F161">
        <v>16</v>
      </c>
      <c r="G161">
        <v>0.90300000000000002</v>
      </c>
      <c r="H161">
        <v>3.49</v>
      </c>
      <c r="I161">
        <v>0</v>
      </c>
      <c r="J161">
        <v>4</v>
      </c>
      <c r="K161">
        <v>665534.69999999995</v>
      </c>
      <c r="L161">
        <v>113167.73</v>
      </c>
    </row>
    <row r="162" spans="1:12">
      <c r="A162" t="s">
        <v>20</v>
      </c>
      <c r="B162" t="s">
        <v>28</v>
      </c>
      <c r="C162">
        <v>78432.14</v>
      </c>
      <c r="D162">
        <v>9440</v>
      </c>
      <c r="E162">
        <v>0.126</v>
      </c>
      <c r="F162">
        <v>23</v>
      </c>
      <c r="G162">
        <v>0.89200000000000002</v>
      </c>
      <c r="H162">
        <v>7.86</v>
      </c>
      <c r="I162">
        <v>0</v>
      </c>
      <c r="J162">
        <v>4.0999999999999996</v>
      </c>
      <c r="K162">
        <v>820729.29</v>
      </c>
      <c r="L162">
        <v>159325.47</v>
      </c>
    </row>
    <row r="163" spans="1:12">
      <c r="A163" t="s">
        <v>15</v>
      </c>
      <c r="B163" t="s">
        <v>16</v>
      </c>
      <c r="C163">
        <v>62059.18</v>
      </c>
      <c r="D163">
        <v>9374</v>
      </c>
      <c r="E163">
        <v>0.13600000000000001</v>
      </c>
      <c r="F163">
        <v>25</v>
      </c>
      <c r="G163">
        <v>0.871</v>
      </c>
      <c r="H163">
        <v>12.55</v>
      </c>
      <c r="I163">
        <v>0</v>
      </c>
      <c r="J163">
        <v>4.9000000000000004</v>
      </c>
      <c r="K163">
        <v>739831.73</v>
      </c>
      <c r="L163">
        <v>119490.21</v>
      </c>
    </row>
    <row r="164" spans="1:12">
      <c r="A164" t="s">
        <v>15</v>
      </c>
      <c r="B164" t="s">
        <v>16</v>
      </c>
      <c r="C164">
        <v>32834.480000000003</v>
      </c>
      <c r="D164">
        <v>7576</v>
      </c>
      <c r="E164">
        <v>9.9000000000000005E-2</v>
      </c>
      <c r="F164">
        <v>15</v>
      </c>
      <c r="G164">
        <v>0.84099999999999997</v>
      </c>
      <c r="H164">
        <v>3.48</v>
      </c>
      <c r="I164">
        <v>0</v>
      </c>
      <c r="J164">
        <v>5</v>
      </c>
      <c r="K164">
        <v>593637.14</v>
      </c>
      <c r="L164">
        <v>106648.14</v>
      </c>
    </row>
    <row r="165" spans="1:12">
      <c r="A165" t="s">
        <v>15</v>
      </c>
      <c r="B165" t="s">
        <v>16</v>
      </c>
      <c r="C165">
        <v>50825.08</v>
      </c>
      <c r="D165">
        <v>8949</v>
      </c>
      <c r="E165">
        <v>0.157</v>
      </c>
      <c r="F165">
        <v>21</v>
      </c>
      <c r="G165">
        <v>0.84699999999999998</v>
      </c>
      <c r="H165">
        <v>7.73</v>
      </c>
      <c r="I165">
        <v>0</v>
      </c>
      <c r="J165">
        <v>4.9000000000000004</v>
      </c>
      <c r="K165">
        <v>769702.76</v>
      </c>
      <c r="L165">
        <v>158697</v>
      </c>
    </row>
    <row r="166" spans="1:12">
      <c r="A166" t="s">
        <v>15</v>
      </c>
      <c r="B166" t="s">
        <v>16</v>
      </c>
      <c r="C166">
        <v>36606.51</v>
      </c>
      <c r="D166">
        <v>7671</v>
      </c>
      <c r="E166">
        <v>0.11799999999999999</v>
      </c>
      <c r="F166">
        <v>18</v>
      </c>
      <c r="G166">
        <v>0.89800000000000002</v>
      </c>
      <c r="H166">
        <v>0.25</v>
      </c>
      <c r="I166">
        <v>0</v>
      </c>
      <c r="J166">
        <v>4.4000000000000004</v>
      </c>
      <c r="K166">
        <v>679731.57</v>
      </c>
      <c r="L166">
        <v>121546.42</v>
      </c>
    </row>
    <row r="167" spans="1:12">
      <c r="A167" t="s">
        <v>15</v>
      </c>
      <c r="B167" t="s">
        <v>16</v>
      </c>
      <c r="C167">
        <v>65237.79</v>
      </c>
      <c r="D167">
        <v>8741</v>
      </c>
      <c r="E167">
        <v>0.157</v>
      </c>
      <c r="F167">
        <v>20</v>
      </c>
      <c r="G167">
        <v>0.94400000000000006</v>
      </c>
      <c r="H167">
        <v>6.43</v>
      </c>
      <c r="I167">
        <v>0</v>
      </c>
      <c r="J167">
        <v>3.3</v>
      </c>
      <c r="K167">
        <v>780344.18</v>
      </c>
      <c r="L167">
        <v>118239.09</v>
      </c>
    </row>
    <row r="168" spans="1:12">
      <c r="A168" t="s">
        <v>15</v>
      </c>
      <c r="B168" t="s">
        <v>16</v>
      </c>
      <c r="C168">
        <v>43645.98</v>
      </c>
      <c r="D168">
        <v>9480</v>
      </c>
      <c r="E168">
        <v>0.109</v>
      </c>
      <c r="F168">
        <v>22</v>
      </c>
      <c r="G168">
        <v>0.89</v>
      </c>
      <c r="H168">
        <v>2.11</v>
      </c>
      <c r="I168">
        <v>0</v>
      </c>
      <c r="J168">
        <v>3.1</v>
      </c>
      <c r="K168">
        <v>721364.11</v>
      </c>
      <c r="L168">
        <v>147272.81</v>
      </c>
    </row>
    <row r="169" spans="1:12">
      <c r="A169" t="s">
        <v>15</v>
      </c>
      <c r="B169" t="s">
        <v>16</v>
      </c>
      <c r="C169">
        <v>68040.149999999994</v>
      </c>
      <c r="D169">
        <v>9826</v>
      </c>
      <c r="E169">
        <v>0.125</v>
      </c>
      <c r="F169">
        <v>20</v>
      </c>
      <c r="G169">
        <v>0.83900000000000008</v>
      </c>
      <c r="H169">
        <v>9.1199999999999992</v>
      </c>
      <c r="I169">
        <v>0</v>
      </c>
      <c r="J169">
        <v>3.6</v>
      </c>
      <c r="K169">
        <v>758138.29</v>
      </c>
      <c r="L169">
        <v>132975.26</v>
      </c>
    </row>
    <row r="170" spans="1:12">
      <c r="A170" t="s">
        <v>15</v>
      </c>
      <c r="B170" t="s">
        <v>16</v>
      </c>
      <c r="C170">
        <v>63043.94</v>
      </c>
      <c r="D170">
        <v>10402</v>
      </c>
      <c r="E170">
        <v>0.159</v>
      </c>
      <c r="F170">
        <v>23</v>
      </c>
      <c r="G170">
        <v>0.93900000000000006</v>
      </c>
      <c r="H170">
        <v>2.71</v>
      </c>
      <c r="I170">
        <v>0</v>
      </c>
      <c r="J170">
        <v>3.1</v>
      </c>
      <c r="K170">
        <v>804264</v>
      </c>
      <c r="L170">
        <v>167117.91</v>
      </c>
    </row>
    <row r="171" spans="1:12">
      <c r="A171" t="s">
        <v>27</v>
      </c>
      <c r="B171" t="s">
        <v>21</v>
      </c>
      <c r="C171">
        <v>67494.09</v>
      </c>
      <c r="D171">
        <v>12361</v>
      </c>
      <c r="E171">
        <v>4.5999999999999999E-2</v>
      </c>
      <c r="F171">
        <v>24</v>
      </c>
      <c r="G171">
        <v>0.7659999999999999</v>
      </c>
      <c r="H171">
        <v>3.65</v>
      </c>
      <c r="I171">
        <v>1</v>
      </c>
      <c r="J171">
        <v>3.7</v>
      </c>
      <c r="K171">
        <v>887537.75</v>
      </c>
      <c r="L171">
        <v>160362.92000000001</v>
      </c>
    </row>
    <row r="172" spans="1:12">
      <c r="A172" t="s">
        <v>27</v>
      </c>
      <c r="B172" t="s">
        <v>21</v>
      </c>
      <c r="C172">
        <v>29389.32</v>
      </c>
      <c r="D172">
        <v>7925</v>
      </c>
      <c r="E172">
        <v>0.17699999999999999</v>
      </c>
      <c r="F172">
        <v>21</v>
      </c>
      <c r="G172">
        <v>0.90900000000000003</v>
      </c>
      <c r="H172">
        <v>7.86</v>
      </c>
      <c r="I172">
        <v>0</v>
      </c>
      <c r="J172">
        <v>4</v>
      </c>
      <c r="K172">
        <v>783582</v>
      </c>
      <c r="L172">
        <v>130670.93</v>
      </c>
    </row>
    <row r="173" spans="1:12">
      <c r="A173" t="s">
        <v>27</v>
      </c>
      <c r="B173" t="s">
        <v>21</v>
      </c>
      <c r="C173">
        <v>40535.089999999997</v>
      </c>
      <c r="D173">
        <v>8870</v>
      </c>
      <c r="E173">
        <v>4.1000000000000002E-2</v>
      </c>
      <c r="F173">
        <v>21</v>
      </c>
      <c r="G173">
        <v>0.86599999999999999</v>
      </c>
      <c r="H173">
        <v>0.3</v>
      </c>
      <c r="I173">
        <v>0</v>
      </c>
      <c r="J173">
        <v>4.0999999999999996</v>
      </c>
      <c r="K173">
        <v>781955.52</v>
      </c>
      <c r="L173">
        <v>152578.71</v>
      </c>
    </row>
    <row r="174" spans="1:12">
      <c r="A174" t="s">
        <v>27</v>
      </c>
      <c r="B174" t="s">
        <v>21</v>
      </c>
      <c r="C174">
        <v>74881.56</v>
      </c>
      <c r="D174">
        <v>9999</v>
      </c>
      <c r="E174">
        <v>1.2999999999999999E-2</v>
      </c>
      <c r="F174">
        <v>20</v>
      </c>
      <c r="G174">
        <v>0.89599999999999991</v>
      </c>
      <c r="H174">
        <v>8.44</v>
      </c>
      <c r="I174">
        <v>0</v>
      </c>
      <c r="J174">
        <v>4.0999999999999996</v>
      </c>
      <c r="K174">
        <v>898031.04</v>
      </c>
      <c r="L174">
        <v>138666.5</v>
      </c>
    </row>
    <row r="175" spans="1:12">
      <c r="A175" t="s">
        <v>27</v>
      </c>
      <c r="B175" t="s">
        <v>16</v>
      </c>
      <c r="C175">
        <v>68491.11</v>
      </c>
      <c r="D175">
        <v>11154</v>
      </c>
      <c r="E175">
        <v>1E-3</v>
      </c>
      <c r="F175">
        <v>24</v>
      </c>
      <c r="G175">
        <v>0.89400000000000002</v>
      </c>
      <c r="H175">
        <v>5.27</v>
      </c>
      <c r="I175">
        <v>1</v>
      </c>
      <c r="J175">
        <v>3.9</v>
      </c>
      <c r="K175">
        <v>855341.28</v>
      </c>
      <c r="L175">
        <v>175823.8</v>
      </c>
    </row>
    <row r="176" spans="1:12">
      <c r="A176" t="s">
        <v>27</v>
      </c>
      <c r="B176" t="s">
        <v>16</v>
      </c>
      <c r="C176">
        <v>45209.25</v>
      </c>
      <c r="D176">
        <v>9287</v>
      </c>
      <c r="E176">
        <v>0.14099999999999999</v>
      </c>
      <c r="F176">
        <v>22</v>
      </c>
      <c r="G176">
        <v>0.8640000000000001</v>
      </c>
      <c r="H176">
        <v>13.22</v>
      </c>
      <c r="I176">
        <v>0</v>
      </c>
      <c r="J176">
        <v>3.6</v>
      </c>
      <c r="K176">
        <v>751393.88</v>
      </c>
      <c r="L176">
        <v>91480.320000000007</v>
      </c>
    </row>
    <row r="177" spans="1:12">
      <c r="A177" t="s">
        <v>27</v>
      </c>
      <c r="B177" t="s">
        <v>16</v>
      </c>
      <c r="C177">
        <v>63010.23</v>
      </c>
      <c r="D177">
        <v>9812</v>
      </c>
      <c r="E177">
        <v>0.113</v>
      </c>
      <c r="F177">
        <v>24</v>
      </c>
      <c r="G177">
        <v>0.76800000000000002</v>
      </c>
      <c r="H177">
        <v>1.02</v>
      </c>
      <c r="I177">
        <v>1</v>
      </c>
      <c r="J177">
        <v>3.8</v>
      </c>
      <c r="K177">
        <v>761077.08</v>
      </c>
      <c r="L177">
        <v>113605.93</v>
      </c>
    </row>
    <row r="178" spans="1:12">
      <c r="A178" t="s">
        <v>27</v>
      </c>
      <c r="B178" t="s">
        <v>16</v>
      </c>
      <c r="C178">
        <v>57948.88</v>
      </c>
      <c r="D178">
        <v>10741</v>
      </c>
      <c r="E178">
        <v>7.0000000000000007E-2</v>
      </c>
      <c r="F178">
        <v>25</v>
      </c>
      <c r="G178">
        <v>0.90099999999999991</v>
      </c>
      <c r="H178">
        <v>4.03</v>
      </c>
      <c r="I178">
        <v>0</v>
      </c>
      <c r="J178">
        <v>3.1</v>
      </c>
      <c r="K178">
        <v>819660.59</v>
      </c>
      <c r="L178">
        <v>172699.95</v>
      </c>
    </row>
    <row r="179" spans="1:12">
      <c r="A179" t="s">
        <v>20</v>
      </c>
      <c r="B179" t="s">
        <v>18</v>
      </c>
      <c r="C179">
        <v>71941.62</v>
      </c>
      <c r="D179">
        <v>6084</v>
      </c>
      <c r="E179">
        <v>7.1999999999999995E-2</v>
      </c>
      <c r="F179">
        <v>13</v>
      </c>
      <c r="G179">
        <v>0.93700000000000006</v>
      </c>
      <c r="H179">
        <v>2.34</v>
      </c>
      <c r="I179">
        <v>0</v>
      </c>
      <c r="J179">
        <v>4.4000000000000004</v>
      </c>
      <c r="K179">
        <v>681855.56</v>
      </c>
      <c r="L179">
        <v>117645.61</v>
      </c>
    </row>
    <row r="180" spans="1:12">
      <c r="A180" t="s">
        <v>20</v>
      </c>
      <c r="B180" t="s">
        <v>18</v>
      </c>
      <c r="C180">
        <v>57147.88</v>
      </c>
      <c r="D180">
        <v>5252</v>
      </c>
      <c r="E180">
        <v>0.161</v>
      </c>
      <c r="F180">
        <v>15</v>
      </c>
      <c r="G180">
        <v>0.95499999999999996</v>
      </c>
      <c r="H180">
        <v>8.51</v>
      </c>
      <c r="I180">
        <v>0</v>
      </c>
      <c r="J180">
        <v>4.4000000000000004</v>
      </c>
      <c r="K180">
        <v>678311.17</v>
      </c>
      <c r="L180">
        <v>132029.76000000001</v>
      </c>
    </row>
    <row r="181" spans="1:12">
      <c r="A181" t="s">
        <v>20</v>
      </c>
      <c r="B181" t="s">
        <v>18</v>
      </c>
      <c r="C181">
        <v>48031.74</v>
      </c>
      <c r="D181">
        <v>6516</v>
      </c>
      <c r="E181">
        <v>6.7000000000000004E-2</v>
      </c>
      <c r="F181">
        <v>14</v>
      </c>
      <c r="G181">
        <v>0.99</v>
      </c>
      <c r="H181">
        <v>0.48</v>
      </c>
      <c r="I181">
        <v>1</v>
      </c>
      <c r="J181">
        <v>4.3</v>
      </c>
      <c r="K181">
        <v>765906.95</v>
      </c>
      <c r="L181">
        <v>114005.9</v>
      </c>
    </row>
    <row r="182" spans="1:12">
      <c r="A182" t="s">
        <v>20</v>
      </c>
      <c r="B182" t="s">
        <v>18</v>
      </c>
      <c r="C182">
        <v>72784.800000000003</v>
      </c>
      <c r="D182">
        <v>7932</v>
      </c>
      <c r="E182">
        <v>9.4E-2</v>
      </c>
      <c r="F182">
        <v>20</v>
      </c>
      <c r="G182">
        <v>0.74900000000000011</v>
      </c>
      <c r="H182">
        <v>13.62</v>
      </c>
      <c r="I182">
        <v>0</v>
      </c>
      <c r="J182">
        <v>4.2</v>
      </c>
      <c r="K182">
        <v>712546.38</v>
      </c>
      <c r="L182">
        <v>101480.04</v>
      </c>
    </row>
    <row r="183" spans="1:12">
      <c r="A183" t="s">
        <v>15</v>
      </c>
      <c r="B183" t="s">
        <v>18</v>
      </c>
      <c r="C183">
        <v>71641.899999999994</v>
      </c>
      <c r="D183">
        <v>3506</v>
      </c>
      <c r="E183">
        <v>0</v>
      </c>
      <c r="F183">
        <v>11</v>
      </c>
      <c r="G183">
        <v>0.8640000000000001</v>
      </c>
      <c r="H183">
        <v>7.77</v>
      </c>
      <c r="I183">
        <v>0</v>
      </c>
      <c r="J183">
        <v>4.0999999999999996</v>
      </c>
      <c r="K183">
        <v>625993.82999999996</v>
      </c>
      <c r="L183">
        <v>98960.320000000007</v>
      </c>
    </row>
    <row r="184" spans="1:12">
      <c r="A184" t="s">
        <v>15</v>
      </c>
      <c r="B184" t="s">
        <v>18</v>
      </c>
      <c r="C184">
        <v>55788.61</v>
      </c>
      <c r="D184">
        <v>2312</v>
      </c>
      <c r="E184">
        <v>5.8000000000000003E-2</v>
      </c>
      <c r="F184">
        <v>10</v>
      </c>
      <c r="G184">
        <v>0.91299999999999992</v>
      </c>
      <c r="H184">
        <v>1.99</v>
      </c>
      <c r="I184">
        <v>0</v>
      </c>
      <c r="J184">
        <v>3.8</v>
      </c>
      <c r="K184">
        <v>550962.93000000005</v>
      </c>
      <c r="L184">
        <v>97144.58</v>
      </c>
    </row>
    <row r="185" spans="1:12">
      <c r="A185" t="s">
        <v>15</v>
      </c>
      <c r="B185" t="s">
        <v>18</v>
      </c>
      <c r="C185">
        <v>37705.879999999997</v>
      </c>
      <c r="D185">
        <v>1268</v>
      </c>
      <c r="E185">
        <v>0.25900000000000001</v>
      </c>
      <c r="F185">
        <v>9</v>
      </c>
      <c r="G185">
        <v>0.84099999999999997</v>
      </c>
      <c r="H185">
        <v>4.7699999999999996</v>
      </c>
      <c r="I185">
        <v>0</v>
      </c>
      <c r="J185">
        <v>3.8</v>
      </c>
      <c r="K185">
        <v>443275.59</v>
      </c>
      <c r="L185">
        <v>53544.36</v>
      </c>
    </row>
    <row r="186" spans="1:12">
      <c r="A186" t="s">
        <v>15</v>
      </c>
      <c r="B186" t="s">
        <v>18</v>
      </c>
      <c r="C186">
        <v>54966.18</v>
      </c>
      <c r="D186">
        <v>4423</v>
      </c>
      <c r="E186">
        <v>0.186</v>
      </c>
      <c r="F186">
        <v>13</v>
      </c>
      <c r="G186">
        <v>0.88700000000000001</v>
      </c>
      <c r="H186">
        <v>0.2</v>
      </c>
      <c r="I186">
        <v>0</v>
      </c>
      <c r="J186">
        <v>4.4000000000000004</v>
      </c>
      <c r="K186">
        <v>554012.06999999995</v>
      </c>
      <c r="L186">
        <v>81101.62</v>
      </c>
    </row>
    <row r="187" spans="1:12">
      <c r="A187" t="s">
        <v>27</v>
      </c>
      <c r="B187" t="s">
        <v>16</v>
      </c>
      <c r="C187">
        <v>81796.740000000005</v>
      </c>
      <c r="D187">
        <v>6177</v>
      </c>
      <c r="E187">
        <v>0.16400000000000001</v>
      </c>
      <c r="F187">
        <v>14</v>
      </c>
      <c r="G187">
        <v>0.879</v>
      </c>
      <c r="H187">
        <v>0.53</v>
      </c>
      <c r="I187">
        <v>0</v>
      </c>
      <c r="J187">
        <v>3.2</v>
      </c>
      <c r="K187">
        <v>643428.85</v>
      </c>
      <c r="L187">
        <v>94477.63</v>
      </c>
    </row>
    <row r="188" spans="1:12">
      <c r="A188" t="s">
        <v>27</v>
      </c>
      <c r="B188" t="s">
        <v>16</v>
      </c>
      <c r="C188">
        <v>51133.43</v>
      </c>
      <c r="D188">
        <v>5150</v>
      </c>
      <c r="E188">
        <v>0.15</v>
      </c>
      <c r="F188">
        <v>12</v>
      </c>
      <c r="G188">
        <v>0.88500000000000001</v>
      </c>
      <c r="H188">
        <v>1.54</v>
      </c>
      <c r="I188">
        <v>0</v>
      </c>
      <c r="J188">
        <v>3.2</v>
      </c>
      <c r="K188">
        <v>611924.27</v>
      </c>
      <c r="L188">
        <v>115488.75</v>
      </c>
    </row>
    <row r="189" spans="1:12">
      <c r="A189" t="s">
        <v>27</v>
      </c>
      <c r="B189" t="s">
        <v>16</v>
      </c>
      <c r="C189">
        <v>40220.18</v>
      </c>
      <c r="D189">
        <v>3783</v>
      </c>
      <c r="E189">
        <v>8.8999999999999996E-2</v>
      </c>
      <c r="F189">
        <v>14</v>
      </c>
      <c r="G189">
        <v>0.86599999999999999</v>
      </c>
      <c r="H189">
        <v>3.63</v>
      </c>
      <c r="I189">
        <v>0</v>
      </c>
      <c r="J189">
        <v>3.7</v>
      </c>
      <c r="K189">
        <v>559422.02</v>
      </c>
      <c r="L189">
        <v>73528.740000000005</v>
      </c>
    </row>
    <row r="190" spans="1:12">
      <c r="A190" t="s">
        <v>20</v>
      </c>
      <c r="B190" t="s">
        <v>16</v>
      </c>
      <c r="C190">
        <v>71851.45</v>
      </c>
      <c r="D190">
        <v>4970</v>
      </c>
      <c r="E190">
        <v>9.8000000000000004E-2</v>
      </c>
      <c r="F190">
        <v>11</v>
      </c>
      <c r="G190">
        <v>0.89599999999999991</v>
      </c>
      <c r="H190">
        <v>0.2</v>
      </c>
      <c r="I190">
        <v>0</v>
      </c>
      <c r="J190">
        <v>4.2</v>
      </c>
      <c r="K190">
        <v>691447.43</v>
      </c>
      <c r="L190">
        <v>114077.69</v>
      </c>
    </row>
    <row r="191" spans="1:12">
      <c r="A191" t="s">
        <v>20</v>
      </c>
      <c r="B191" t="s">
        <v>16</v>
      </c>
      <c r="C191">
        <v>54002.83</v>
      </c>
      <c r="D191">
        <v>4366</v>
      </c>
      <c r="E191">
        <v>2.7E-2</v>
      </c>
      <c r="F191">
        <v>15</v>
      </c>
      <c r="G191">
        <v>0.90599999999999992</v>
      </c>
      <c r="H191">
        <v>12.82</v>
      </c>
      <c r="I191">
        <v>0</v>
      </c>
      <c r="J191">
        <v>4.5999999999999996</v>
      </c>
      <c r="K191">
        <v>574066.61</v>
      </c>
      <c r="L191">
        <v>124674.67</v>
      </c>
    </row>
    <row r="192" spans="1:12">
      <c r="A192" t="s">
        <v>20</v>
      </c>
      <c r="B192" t="s">
        <v>16</v>
      </c>
      <c r="C192">
        <v>54479.33</v>
      </c>
      <c r="D192">
        <v>5012</v>
      </c>
      <c r="E192">
        <v>0.28399999999999997</v>
      </c>
      <c r="F192">
        <v>13</v>
      </c>
      <c r="G192">
        <v>0.86</v>
      </c>
      <c r="H192">
        <v>2.2400000000000002</v>
      </c>
      <c r="I192">
        <v>1</v>
      </c>
      <c r="J192">
        <v>4.3</v>
      </c>
      <c r="K192">
        <v>578949.84</v>
      </c>
      <c r="L192">
        <v>80253.649999999994</v>
      </c>
    </row>
    <row r="193" spans="1:12">
      <c r="A193" t="s">
        <v>20</v>
      </c>
      <c r="B193" t="s">
        <v>16</v>
      </c>
      <c r="C193">
        <v>61391.8</v>
      </c>
      <c r="D193">
        <v>5575</v>
      </c>
      <c r="E193">
        <v>0.189</v>
      </c>
      <c r="F193">
        <v>18</v>
      </c>
      <c r="G193">
        <v>0.9</v>
      </c>
      <c r="H193">
        <v>1.8</v>
      </c>
      <c r="I193">
        <v>0</v>
      </c>
      <c r="J193">
        <v>4.8</v>
      </c>
      <c r="K193">
        <v>735786.64</v>
      </c>
      <c r="L193">
        <v>126540.66</v>
      </c>
    </row>
    <row r="194" spans="1:12">
      <c r="A194" t="s">
        <v>15</v>
      </c>
      <c r="B194" t="s">
        <v>21</v>
      </c>
      <c r="C194">
        <v>22312.93</v>
      </c>
      <c r="D194">
        <v>5955</v>
      </c>
      <c r="E194">
        <v>0.123</v>
      </c>
      <c r="F194">
        <v>13</v>
      </c>
      <c r="G194">
        <v>0.84200000000000008</v>
      </c>
      <c r="H194">
        <v>0.41</v>
      </c>
      <c r="I194">
        <v>1</v>
      </c>
      <c r="J194">
        <v>4.5999999999999996</v>
      </c>
      <c r="K194">
        <v>598904.9</v>
      </c>
      <c r="L194">
        <v>72861</v>
      </c>
    </row>
    <row r="195" spans="1:12">
      <c r="A195" t="s">
        <v>15</v>
      </c>
      <c r="B195" t="s">
        <v>21</v>
      </c>
      <c r="C195">
        <v>78111.97</v>
      </c>
      <c r="D195">
        <v>6389</v>
      </c>
      <c r="E195">
        <v>0.15</v>
      </c>
      <c r="F195">
        <v>13</v>
      </c>
      <c r="G195">
        <v>0.83900000000000008</v>
      </c>
      <c r="H195">
        <v>3.05</v>
      </c>
      <c r="I195">
        <v>0</v>
      </c>
      <c r="J195">
        <v>4.8</v>
      </c>
      <c r="K195">
        <v>787715.51</v>
      </c>
      <c r="L195">
        <v>128969.62</v>
      </c>
    </row>
    <row r="196" spans="1:12">
      <c r="A196" t="s">
        <v>15</v>
      </c>
      <c r="B196" t="s">
        <v>21</v>
      </c>
      <c r="C196">
        <v>35203.230000000003</v>
      </c>
      <c r="D196">
        <v>6896</v>
      </c>
      <c r="E196">
        <v>3.2000000000000001E-2</v>
      </c>
      <c r="F196">
        <v>14</v>
      </c>
      <c r="G196">
        <v>0.80799999999999994</v>
      </c>
      <c r="H196">
        <v>8.44</v>
      </c>
      <c r="I196">
        <v>1</v>
      </c>
      <c r="J196">
        <v>5</v>
      </c>
      <c r="K196">
        <v>607084.92000000004</v>
      </c>
      <c r="L196">
        <v>98558.49</v>
      </c>
    </row>
    <row r="197" spans="1:12">
      <c r="A197" t="s">
        <v>15</v>
      </c>
      <c r="B197" t="s">
        <v>21</v>
      </c>
      <c r="C197">
        <v>64104.28</v>
      </c>
      <c r="D197">
        <v>6015</v>
      </c>
      <c r="E197">
        <v>0.127</v>
      </c>
      <c r="F197">
        <v>15</v>
      </c>
      <c r="G197">
        <v>0.88700000000000001</v>
      </c>
      <c r="H197">
        <v>0.78</v>
      </c>
      <c r="I197">
        <v>0</v>
      </c>
      <c r="J197">
        <v>4</v>
      </c>
      <c r="K197">
        <v>650795.49</v>
      </c>
      <c r="L197">
        <v>103035.89</v>
      </c>
    </row>
    <row r="198" spans="1:12">
      <c r="A198" t="s">
        <v>15</v>
      </c>
      <c r="B198" t="s">
        <v>28</v>
      </c>
      <c r="C198">
        <v>92090.14</v>
      </c>
      <c r="D198">
        <v>9476</v>
      </c>
      <c r="E198">
        <v>7.0000000000000007E-2</v>
      </c>
      <c r="F198">
        <v>24</v>
      </c>
      <c r="G198">
        <v>0.94299999999999995</v>
      </c>
      <c r="H198">
        <v>0.87</v>
      </c>
      <c r="I198">
        <v>0</v>
      </c>
      <c r="J198">
        <v>3.7</v>
      </c>
      <c r="K198">
        <v>825060.52</v>
      </c>
      <c r="L198">
        <v>143613.15</v>
      </c>
    </row>
    <row r="199" spans="1:12">
      <c r="A199" t="s">
        <v>15</v>
      </c>
      <c r="B199" t="s">
        <v>28</v>
      </c>
      <c r="C199">
        <v>54300.87</v>
      </c>
      <c r="D199">
        <v>7875</v>
      </c>
      <c r="E199">
        <v>0.107</v>
      </c>
      <c r="F199">
        <v>19</v>
      </c>
      <c r="G199">
        <v>0.94099999999999995</v>
      </c>
      <c r="H199">
        <v>0.95</v>
      </c>
      <c r="I199">
        <v>0</v>
      </c>
      <c r="J199">
        <v>3.7</v>
      </c>
      <c r="K199">
        <v>795464.47</v>
      </c>
      <c r="L199">
        <v>161150.51999999999</v>
      </c>
    </row>
    <row r="200" spans="1:12">
      <c r="A200" t="s">
        <v>15</v>
      </c>
      <c r="B200" t="s">
        <v>28</v>
      </c>
      <c r="C200">
        <v>37983.35</v>
      </c>
      <c r="D200">
        <v>9283</v>
      </c>
      <c r="E200">
        <v>0.14899999999999999</v>
      </c>
      <c r="F200">
        <v>19</v>
      </c>
      <c r="G200">
        <v>0.83200000000000007</v>
      </c>
      <c r="H200">
        <v>3.82</v>
      </c>
      <c r="I200">
        <v>0</v>
      </c>
      <c r="J200">
        <v>3.7</v>
      </c>
      <c r="K200">
        <v>671868.59</v>
      </c>
      <c r="L200">
        <v>71003.28</v>
      </c>
    </row>
    <row r="201" spans="1:12">
      <c r="A201" t="s">
        <v>15</v>
      </c>
      <c r="B201" t="s">
        <v>28</v>
      </c>
      <c r="C201">
        <v>56413.83</v>
      </c>
      <c r="D201">
        <v>8303</v>
      </c>
      <c r="E201">
        <v>0.11600000000000001</v>
      </c>
      <c r="F201">
        <v>18</v>
      </c>
      <c r="G201">
        <v>0.93599999999999994</v>
      </c>
      <c r="H201">
        <v>2.7</v>
      </c>
      <c r="I201">
        <v>0</v>
      </c>
      <c r="J201">
        <v>3.7</v>
      </c>
      <c r="K201">
        <v>675917.63</v>
      </c>
      <c r="L201">
        <v>112564.75</v>
      </c>
    </row>
    <row r="202" spans="1:12">
      <c r="A202" t="s">
        <v>15</v>
      </c>
      <c r="B202" t="s">
        <v>18</v>
      </c>
      <c r="C202">
        <v>63457.19</v>
      </c>
      <c r="D202">
        <v>10125</v>
      </c>
      <c r="E202">
        <v>9.7000000000000003E-2</v>
      </c>
      <c r="F202">
        <v>24</v>
      </c>
      <c r="G202">
        <v>0.87</v>
      </c>
      <c r="H202">
        <v>3.84</v>
      </c>
      <c r="I202">
        <v>1</v>
      </c>
      <c r="J202">
        <v>3.7</v>
      </c>
      <c r="K202">
        <v>810446.53</v>
      </c>
      <c r="L202">
        <v>200575.34</v>
      </c>
    </row>
    <row r="203" spans="1:12">
      <c r="A203" t="s">
        <v>15</v>
      </c>
      <c r="B203" t="s">
        <v>18</v>
      </c>
      <c r="C203">
        <v>62949.7</v>
      </c>
      <c r="D203">
        <v>9458</v>
      </c>
      <c r="E203">
        <v>0.17100000000000001</v>
      </c>
      <c r="F203">
        <v>19</v>
      </c>
      <c r="G203">
        <v>0.84900000000000009</v>
      </c>
      <c r="H203">
        <v>5.09</v>
      </c>
      <c r="I203">
        <v>0</v>
      </c>
      <c r="J203">
        <v>3.3</v>
      </c>
      <c r="K203">
        <v>691288.19</v>
      </c>
      <c r="L203">
        <v>159074.14000000001</v>
      </c>
    </row>
    <row r="204" spans="1:12">
      <c r="A204" t="s">
        <v>15</v>
      </c>
      <c r="B204" t="s">
        <v>18</v>
      </c>
      <c r="C204">
        <v>107970.19</v>
      </c>
      <c r="D204">
        <v>12870</v>
      </c>
      <c r="E204">
        <v>2.9000000000000001E-2</v>
      </c>
      <c r="F204">
        <v>31</v>
      </c>
      <c r="G204">
        <v>0.91700000000000004</v>
      </c>
      <c r="H204">
        <v>3.82</v>
      </c>
      <c r="I204">
        <v>1</v>
      </c>
      <c r="J204">
        <v>3.7</v>
      </c>
      <c r="K204">
        <v>946833.54</v>
      </c>
      <c r="L204">
        <v>184540.31</v>
      </c>
    </row>
    <row r="205" spans="1:12">
      <c r="A205" t="s">
        <v>15</v>
      </c>
      <c r="B205" t="s">
        <v>18</v>
      </c>
      <c r="C205">
        <v>49405.75</v>
      </c>
      <c r="D205">
        <v>9752</v>
      </c>
      <c r="E205">
        <v>9.2999999999999999E-2</v>
      </c>
      <c r="F205">
        <v>21</v>
      </c>
      <c r="G205">
        <v>0.87</v>
      </c>
      <c r="H205">
        <v>12.28</v>
      </c>
      <c r="I205">
        <v>0</v>
      </c>
      <c r="J205">
        <v>4.0999999999999996</v>
      </c>
      <c r="K205">
        <v>761963.23</v>
      </c>
      <c r="L205">
        <v>150113.60999999999</v>
      </c>
    </row>
    <row r="206" spans="1:12">
      <c r="A206" t="s">
        <v>27</v>
      </c>
      <c r="B206" t="s">
        <v>16</v>
      </c>
      <c r="C206">
        <v>50887.46</v>
      </c>
      <c r="D206">
        <v>9505</v>
      </c>
      <c r="E206">
        <v>9.0999999999999998E-2</v>
      </c>
      <c r="F206">
        <v>25</v>
      </c>
      <c r="G206">
        <v>0.89700000000000002</v>
      </c>
      <c r="H206">
        <v>2.8</v>
      </c>
      <c r="I206">
        <v>0</v>
      </c>
      <c r="J206">
        <v>4.3</v>
      </c>
      <c r="K206">
        <v>812152.6</v>
      </c>
      <c r="L206">
        <v>138419.43</v>
      </c>
    </row>
    <row r="207" spans="1:12">
      <c r="A207" t="s">
        <v>27</v>
      </c>
      <c r="B207" t="s">
        <v>16</v>
      </c>
      <c r="C207">
        <v>41819.449999999997</v>
      </c>
      <c r="D207">
        <v>9412</v>
      </c>
      <c r="E207">
        <v>0.15</v>
      </c>
      <c r="F207">
        <v>22</v>
      </c>
      <c r="G207">
        <v>0.91</v>
      </c>
      <c r="H207">
        <v>3.67</v>
      </c>
      <c r="I207">
        <v>0</v>
      </c>
      <c r="J207">
        <v>4.2</v>
      </c>
      <c r="K207">
        <v>804975.5</v>
      </c>
      <c r="L207">
        <v>140054.5</v>
      </c>
    </row>
    <row r="208" spans="1:12">
      <c r="A208" t="s">
        <v>27</v>
      </c>
      <c r="B208" t="s">
        <v>16</v>
      </c>
      <c r="C208">
        <v>35296.54</v>
      </c>
      <c r="D208">
        <v>9644</v>
      </c>
      <c r="E208">
        <v>0</v>
      </c>
      <c r="F208">
        <v>22</v>
      </c>
      <c r="G208">
        <v>0.88</v>
      </c>
      <c r="H208">
        <v>2.81</v>
      </c>
      <c r="I208">
        <v>0</v>
      </c>
      <c r="J208">
        <v>4.7</v>
      </c>
      <c r="K208">
        <v>752321.72</v>
      </c>
      <c r="L208">
        <v>137788.51</v>
      </c>
    </row>
    <row r="209" spans="1:12">
      <c r="A209" t="s">
        <v>27</v>
      </c>
      <c r="B209" t="s">
        <v>16</v>
      </c>
      <c r="C209">
        <v>47391.09</v>
      </c>
      <c r="D209">
        <v>11224</v>
      </c>
      <c r="E209">
        <v>0.14699999999999999</v>
      </c>
      <c r="F209">
        <v>25</v>
      </c>
      <c r="G209">
        <v>0.88400000000000001</v>
      </c>
      <c r="H209">
        <v>2.44</v>
      </c>
      <c r="I209">
        <v>0</v>
      </c>
      <c r="J209">
        <v>4.9000000000000004</v>
      </c>
      <c r="K209">
        <v>836908.24</v>
      </c>
      <c r="L209">
        <v>141090.26</v>
      </c>
    </row>
    <row r="210" spans="1:12">
      <c r="A210" t="s">
        <v>20</v>
      </c>
      <c r="B210" t="s">
        <v>21</v>
      </c>
      <c r="C210">
        <v>69180.539999999994</v>
      </c>
      <c r="D210">
        <v>5394</v>
      </c>
      <c r="E210">
        <v>0.126</v>
      </c>
      <c r="F210">
        <v>12</v>
      </c>
      <c r="G210">
        <v>0.82900000000000007</v>
      </c>
      <c r="H210">
        <v>3.27</v>
      </c>
      <c r="I210">
        <v>0</v>
      </c>
      <c r="J210">
        <v>3.3</v>
      </c>
      <c r="K210">
        <v>674289.1</v>
      </c>
      <c r="L210">
        <v>117773.79</v>
      </c>
    </row>
    <row r="211" spans="1:12">
      <c r="A211" t="s">
        <v>20</v>
      </c>
      <c r="B211" t="s">
        <v>21</v>
      </c>
      <c r="C211">
        <v>33987.33</v>
      </c>
      <c r="D211">
        <v>5014</v>
      </c>
      <c r="E211">
        <v>0.246</v>
      </c>
      <c r="F211">
        <v>17</v>
      </c>
      <c r="G211">
        <v>0.94299999999999995</v>
      </c>
      <c r="H211">
        <v>10.34</v>
      </c>
      <c r="I211">
        <v>0</v>
      </c>
      <c r="J211">
        <v>3.9</v>
      </c>
      <c r="K211">
        <v>622892.42000000004</v>
      </c>
      <c r="L211">
        <v>101032.52</v>
      </c>
    </row>
    <row r="212" spans="1:12">
      <c r="A212" t="s">
        <v>20</v>
      </c>
      <c r="B212" t="s">
        <v>21</v>
      </c>
      <c r="C212">
        <v>58785.33</v>
      </c>
      <c r="D212">
        <v>4467</v>
      </c>
      <c r="E212">
        <v>0.22900000000000001</v>
      </c>
      <c r="F212">
        <v>14</v>
      </c>
      <c r="G212">
        <v>0.90700000000000003</v>
      </c>
      <c r="H212">
        <v>1.92</v>
      </c>
      <c r="I212">
        <v>0</v>
      </c>
      <c r="J212">
        <v>3.7</v>
      </c>
      <c r="K212">
        <v>673348.56</v>
      </c>
      <c r="L212">
        <v>69464.59</v>
      </c>
    </row>
    <row r="213" spans="1:12">
      <c r="A213" t="s">
        <v>20</v>
      </c>
      <c r="B213" t="s">
        <v>21</v>
      </c>
      <c r="C213">
        <v>16451.849999999999</v>
      </c>
      <c r="D213">
        <v>4678</v>
      </c>
      <c r="E213">
        <v>0.13300000000000001</v>
      </c>
      <c r="F213">
        <v>11</v>
      </c>
      <c r="G213">
        <v>0.95900000000000007</v>
      </c>
      <c r="H213">
        <v>3.1</v>
      </c>
      <c r="I213">
        <v>0</v>
      </c>
      <c r="J213">
        <v>3.9</v>
      </c>
      <c r="K213">
        <v>606278.30000000005</v>
      </c>
      <c r="L213">
        <v>102213.26</v>
      </c>
    </row>
    <row r="214" spans="1:12">
      <c r="A214" t="s">
        <v>15</v>
      </c>
      <c r="B214" t="s">
        <v>18</v>
      </c>
      <c r="C214">
        <v>53367.73</v>
      </c>
      <c r="D214">
        <v>7291</v>
      </c>
      <c r="E214">
        <v>0.14599999999999999</v>
      </c>
      <c r="F214">
        <v>18</v>
      </c>
      <c r="G214">
        <v>0.90599999999999992</v>
      </c>
      <c r="H214">
        <v>6.34</v>
      </c>
      <c r="I214">
        <v>1</v>
      </c>
      <c r="J214">
        <v>3.8</v>
      </c>
      <c r="K214">
        <v>712219.81</v>
      </c>
      <c r="L214">
        <v>85906.54</v>
      </c>
    </row>
    <row r="215" spans="1:12">
      <c r="A215" t="s">
        <v>15</v>
      </c>
      <c r="B215" t="s">
        <v>18</v>
      </c>
      <c r="C215">
        <v>27194.639999999999</v>
      </c>
      <c r="D215">
        <v>7404</v>
      </c>
      <c r="E215">
        <v>8.7999999999999995E-2</v>
      </c>
      <c r="F215">
        <v>18</v>
      </c>
      <c r="G215">
        <v>0.90200000000000002</v>
      </c>
      <c r="H215">
        <v>1.2</v>
      </c>
      <c r="I215">
        <v>0</v>
      </c>
      <c r="J215">
        <v>3.4</v>
      </c>
      <c r="K215">
        <v>672670.54</v>
      </c>
      <c r="L215">
        <v>132684.18</v>
      </c>
    </row>
    <row r="216" spans="1:12">
      <c r="A216" t="s">
        <v>15</v>
      </c>
      <c r="B216" t="s">
        <v>18</v>
      </c>
      <c r="C216">
        <v>66962.740000000005</v>
      </c>
      <c r="D216">
        <v>7880</v>
      </c>
      <c r="E216">
        <v>0.11600000000000001</v>
      </c>
      <c r="F216">
        <v>19</v>
      </c>
      <c r="G216">
        <v>0.90400000000000003</v>
      </c>
      <c r="H216">
        <v>4.5</v>
      </c>
      <c r="I216">
        <v>0</v>
      </c>
      <c r="J216">
        <v>3.3</v>
      </c>
      <c r="K216">
        <v>732667.92</v>
      </c>
      <c r="L216">
        <v>128654.46</v>
      </c>
    </row>
    <row r="217" spans="1:12">
      <c r="A217" t="s">
        <v>15</v>
      </c>
      <c r="B217" t="s">
        <v>18</v>
      </c>
      <c r="C217">
        <v>73540.990000000005</v>
      </c>
      <c r="D217">
        <v>8773</v>
      </c>
      <c r="E217">
        <v>3.5000000000000003E-2</v>
      </c>
      <c r="F217">
        <v>21</v>
      </c>
      <c r="G217">
        <v>0.84400000000000008</v>
      </c>
      <c r="H217">
        <v>6.68</v>
      </c>
      <c r="I217">
        <v>0</v>
      </c>
      <c r="J217">
        <v>3.6</v>
      </c>
      <c r="K217">
        <v>723531.4</v>
      </c>
      <c r="L217">
        <v>108794.85</v>
      </c>
    </row>
    <row r="218" spans="1:12">
      <c r="A218" t="s">
        <v>15</v>
      </c>
      <c r="B218" t="s">
        <v>28</v>
      </c>
      <c r="C218">
        <v>68212.289999999994</v>
      </c>
      <c r="D218">
        <v>4713</v>
      </c>
      <c r="E218">
        <v>0.19800000000000001</v>
      </c>
      <c r="F218">
        <v>15</v>
      </c>
      <c r="G218">
        <v>0.82599999999999996</v>
      </c>
      <c r="H218">
        <v>4.07</v>
      </c>
      <c r="I218">
        <v>1</v>
      </c>
      <c r="J218">
        <v>3</v>
      </c>
      <c r="K218">
        <v>641564.6</v>
      </c>
      <c r="L218">
        <v>90468.96</v>
      </c>
    </row>
    <row r="219" spans="1:12">
      <c r="A219" t="s">
        <v>15</v>
      </c>
      <c r="B219" t="s">
        <v>28</v>
      </c>
      <c r="C219">
        <v>57225.98</v>
      </c>
      <c r="D219">
        <v>2842</v>
      </c>
      <c r="E219">
        <v>0.112</v>
      </c>
      <c r="F219">
        <v>10</v>
      </c>
      <c r="G219">
        <v>0.79500000000000004</v>
      </c>
      <c r="H219">
        <v>5.45</v>
      </c>
      <c r="I219">
        <v>0</v>
      </c>
      <c r="J219">
        <v>3.4</v>
      </c>
      <c r="K219">
        <v>536545.49</v>
      </c>
      <c r="L219">
        <v>97917.45</v>
      </c>
    </row>
    <row r="220" spans="1:12">
      <c r="A220" t="s">
        <v>15</v>
      </c>
      <c r="B220" t="s">
        <v>28</v>
      </c>
      <c r="C220">
        <v>42932.02</v>
      </c>
      <c r="D220">
        <v>3872</v>
      </c>
      <c r="E220">
        <v>0.17100000000000001</v>
      </c>
      <c r="F220">
        <v>12</v>
      </c>
      <c r="G220">
        <v>0.83200000000000007</v>
      </c>
      <c r="H220">
        <v>15.58</v>
      </c>
      <c r="I220">
        <v>0</v>
      </c>
      <c r="J220">
        <v>3.3</v>
      </c>
      <c r="K220">
        <v>527681.56000000006</v>
      </c>
      <c r="L220">
        <v>63153.05</v>
      </c>
    </row>
    <row r="221" spans="1:12">
      <c r="A221" t="s">
        <v>15</v>
      </c>
      <c r="B221" t="s">
        <v>18</v>
      </c>
      <c r="C221">
        <v>37324.230000000003</v>
      </c>
      <c r="D221">
        <v>5957</v>
      </c>
      <c r="E221">
        <v>7.0999999999999994E-2</v>
      </c>
      <c r="F221">
        <v>12</v>
      </c>
      <c r="G221">
        <v>0.8590000000000001</v>
      </c>
      <c r="H221">
        <v>0.37</v>
      </c>
      <c r="I221">
        <v>0</v>
      </c>
      <c r="J221">
        <v>3.8</v>
      </c>
      <c r="K221">
        <v>570963.31000000006</v>
      </c>
      <c r="L221">
        <v>87342.25</v>
      </c>
    </row>
    <row r="222" spans="1:12">
      <c r="A222" t="s">
        <v>15</v>
      </c>
      <c r="B222" t="s">
        <v>18</v>
      </c>
      <c r="C222">
        <v>113736</v>
      </c>
      <c r="D222">
        <v>8961</v>
      </c>
      <c r="E222">
        <v>0.20200000000000001</v>
      </c>
      <c r="F222">
        <v>24</v>
      </c>
      <c r="G222">
        <v>0.86199999999999999</v>
      </c>
      <c r="H222">
        <v>21.63</v>
      </c>
      <c r="I222">
        <v>0</v>
      </c>
      <c r="J222">
        <v>4</v>
      </c>
      <c r="K222">
        <v>870937.4</v>
      </c>
      <c r="L222">
        <v>175282.74</v>
      </c>
    </row>
    <row r="223" spans="1:12">
      <c r="A223" t="s">
        <v>15</v>
      </c>
      <c r="B223" t="s">
        <v>18</v>
      </c>
      <c r="C223">
        <v>33173.949999999997</v>
      </c>
      <c r="D223">
        <v>6545</v>
      </c>
      <c r="E223">
        <v>0.16900000000000001</v>
      </c>
      <c r="F223">
        <v>15</v>
      </c>
      <c r="G223">
        <v>0.84400000000000008</v>
      </c>
      <c r="H223">
        <v>2.48</v>
      </c>
      <c r="I223">
        <v>0</v>
      </c>
      <c r="J223">
        <v>3.9</v>
      </c>
      <c r="K223">
        <v>596969.27</v>
      </c>
      <c r="L223">
        <v>105669.51</v>
      </c>
    </row>
    <row r="224" spans="1:12">
      <c r="A224" t="s">
        <v>27</v>
      </c>
      <c r="B224" t="s">
        <v>16</v>
      </c>
      <c r="C224">
        <v>47241.919999999998</v>
      </c>
      <c r="D224">
        <v>4264</v>
      </c>
      <c r="E224">
        <v>6.9000000000000006E-2</v>
      </c>
      <c r="F224">
        <v>13</v>
      </c>
      <c r="G224">
        <v>0.95299999999999996</v>
      </c>
      <c r="H224">
        <v>0.85</v>
      </c>
      <c r="I224">
        <v>0</v>
      </c>
      <c r="J224">
        <v>4.3</v>
      </c>
      <c r="K224">
        <v>658072.14</v>
      </c>
      <c r="L224">
        <v>110595.89</v>
      </c>
    </row>
    <row r="225" spans="1:12">
      <c r="A225" t="s">
        <v>27</v>
      </c>
      <c r="B225" t="s">
        <v>16</v>
      </c>
      <c r="C225">
        <v>61650.79</v>
      </c>
      <c r="D225">
        <v>5321</v>
      </c>
      <c r="E225">
        <v>0.126</v>
      </c>
      <c r="F225">
        <v>17</v>
      </c>
      <c r="G225">
        <v>0.89200000000000002</v>
      </c>
      <c r="H225">
        <v>2.13</v>
      </c>
      <c r="I225">
        <v>0</v>
      </c>
      <c r="J225">
        <v>4</v>
      </c>
      <c r="K225">
        <v>723305.11</v>
      </c>
      <c r="L225">
        <v>128468.7</v>
      </c>
    </row>
    <row r="226" spans="1:12">
      <c r="A226" t="s">
        <v>27</v>
      </c>
      <c r="B226" t="s">
        <v>16</v>
      </c>
      <c r="C226">
        <v>62582.71</v>
      </c>
      <c r="D226">
        <v>5479</v>
      </c>
      <c r="E226">
        <v>4.8000000000000001E-2</v>
      </c>
      <c r="F226">
        <v>16</v>
      </c>
      <c r="G226">
        <v>0.81200000000000006</v>
      </c>
      <c r="H226">
        <v>1.46</v>
      </c>
      <c r="I226">
        <v>0</v>
      </c>
      <c r="J226">
        <v>4.5</v>
      </c>
      <c r="K226">
        <v>640666.53</v>
      </c>
      <c r="L226">
        <v>134919.16</v>
      </c>
    </row>
    <row r="227" spans="1:12">
      <c r="A227" t="s">
        <v>27</v>
      </c>
      <c r="B227" t="s">
        <v>16</v>
      </c>
      <c r="C227">
        <v>47944.14</v>
      </c>
      <c r="D227">
        <v>6169</v>
      </c>
      <c r="E227">
        <v>0.11899999999999999</v>
      </c>
      <c r="F227">
        <v>17</v>
      </c>
      <c r="G227">
        <v>0.92200000000000004</v>
      </c>
      <c r="H227">
        <v>3.02</v>
      </c>
      <c r="I227">
        <v>0</v>
      </c>
      <c r="J227">
        <v>4.0999999999999996</v>
      </c>
      <c r="K227">
        <v>670629.48</v>
      </c>
      <c r="L227">
        <v>100140.8</v>
      </c>
    </row>
    <row r="228" spans="1:12">
      <c r="A228" t="s">
        <v>27</v>
      </c>
      <c r="B228" t="s">
        <v>28</v>
      </c>
      <c r="C228">
        <v>46495.4</v>
      </c>
      <c r="D228">
        <v>9908</v>
      </c>
      <c r="E228">
        <v>0.121</v>
      </c>
      <c r="F228">
        <v>22</v>
      </c>
      <c r="G228">
        <v>0.89400000000000002</v>
      </c>
      <c r="H228">
        <v>3.22</v>
      </c>
      <c r="I228">
        <v>0</v>
      </c>
      <c r="J228">
        <v>3.7</v>
      </c>
      <c r="K228">
        <v>721079.35</v>
      </c>
      <c r="L228">
        <v>115295.05</v>
      </c>
    </row>
    <row r="229" spans="1:12">
      <c r="A229" t="s">
        <v>27</v>
      </c>
      <c r="B229" t="s">
        <v>28</v>
      </c>
      <c r="C229">
        <v>72961.95</v>
      </c>
      <c r="D229">
        <v>9996</v>
      </c>
      <c r="E229">
        <v>0.106</v>
      </c>
      <c r="F229">
        <v>22</v>
      </c>
      <c r="G229">
        <v>0.8909999999999999</v>
      </c>
      <c r="H229">
        <v>15.66</v>
      </c>
      <c r="I229">
        <v>0</v>
      </c>
      <c r="J229">
        <v>3.4</v>
      </c>
      <c r="K229">
        <v>810355.02</v>
      </c>
      <c r="L229">
        <v>131510</v>
      </c>
    </row>
    <row r="230" spans="1:12">
      <c r="A230" t="s">
        <v>27</v>
      </c>
      <c r="B230" t="s">
        <v>28</v>
      </c>
      <c r="C230">
        <v>59060.05</v>
      </c>
      <c r="D230">
        <v>9702</v>
      </c>
      <c r="E230">
        <v>0.20100000000000001</v>
      </c>
      <c r="F230">
        <v>23</v>
      </c>
      <c r="G230">
        <v>0.80900000000000005</v>
      </c>
      <c r="H230">
        <v>6.96</v>
      </c>
      <c r="I230">
        <v>0</v>
      </c>
      <c r="J230">
        <v>3.2</v>
      </c>
      <c r="K230">
        <v>761919.25</v>
      </c>
      <c r="L230">
        <v>111893.06</v>
      </c>
    </row>
    <row r="231" spans="1:12">
      <c r="A231" t="s">
        <v>27</v>
      </c>
      <c r="B231" t="s">
        <v>28</v>
      </c>
      <c r="C231">
        <v>26248.1</v>
      </c>
      <c r="D231">
        <v>9314</v>
      </c>
      <c r="E231">
        <v>0.186</v>
      </c>
      <c r="F231">
        <v>21</v>
      </c>
      <c r="G231">
        <v>0.83700000000000008</v>
      </c>
      <c r="H231">
        <v>4.62</v>
      </c>
      <c r="I231">
        <v>0</v>
      </c>
      <c r="J231">
        <v>3.3</v>
      </c>
      <c r="K231">
        <v>737070.18</v>
      </c>
      <c r="L231">
        <v>117593.97</v>
      </c>
    </row>
    <row r="232" spans="1:12">
      <c r="A232" t="s">
        <v>24</v>
      </c>
      <c r="B232" t="s">
        <v>21</v>
      </c>
      <c r="C232">
        <v>69900.12</v>
      </c>
      <c r="D232">
        <v>8055</v>
      </c>
      <c r="E232">
        <v>0.28100000000000003</v>
      </c>
      <c r="F232">
        <v>22</v>
      </c>
      <c r="G232">
        <v>0.85599999999999998</v>
      </c>
      <c r="H232">
        <v>10.68</v>
      </c>
      <c r="I232">
        <v>1</v>
      </c>
      <c r="J232">
        <v>2.9</v>
      </c>
      <c r="K232">
        <v>776992.93</v>
      </c>
      <c r="L232">
        <v>101598.32</v>
      </c>
    </row>
    <row r="233" spans="1:12">
      <c r="A233" t="s">
        <v>24</v>
      </c>
      <c r="B233" t="s">
        <v>21</v>
      </c>
      <c r="C233">
        <v>51781.599999999999</v>
      </c>
      <c r="D233">
        <v>5648</v>
      </c>
      <c r="E233">
        <v>5.8999999999999997E-2</v>
      </c>
      <c r="F233">
        <v>13</v>
      </c>
      <c r="G233">
        <v>0.85499999999999998</v>
      </c>
      <c r="H233">
        <v>4.04</v>
      </c>
      <c r="I233">
        <v>0</v>
      </c>
      <c r="J233">
        <v>3.7</v>
      </c>
      <c r="K233">
        <v>676337.41</v>
      </c>
      <c r="L233">
        <v>104355.77</v>
      </c>
    </row>
    <row r="234" spans="1:12">
      <c r="A234" t="s">
        <v>24</v>
      </c>
      <c r="B234" t="s">
        <v>21</v>
      </c>
      <c r="C234">
        <v>70799.64</v>
      </c>
      <c r="D234">
        <v>10076</v>
      </c>
      <c r="E234">
        <v>0.152</v>
      </c>
      <c r="F234">
        <v>24</v>
      </c>
      <c r="G234">
        <v>0.84799999999999998</v>
      </c>
      <c r="H234">
        <v>1.87</v>
      </c>
      <c r="I234">
        <v>0</v>
      </c>
      <c r="J234">
        <v>3.5</v>
      </c>
      <c r="K234">
        <v>828219.67</v>
      </c>
      <c r="L234">
        <v>179806.87</v>
      </c>
    </row>
    <row r="235" spans="1:12">
      <c r="A235" t="s">
        <v>24</v>
      </c>
      <c r="B235" t="s">
        <v>21</v>
      </c>
      <c r="C235">
        <v>53546.34</v>
      </c>
      <c r="D235">
        <v>8004</v>
      </c>
      <c r="E235">
        <v>0</v>
      </c>
      <c r="F235">
        <v>21</v>
      </c>
      <c r="G235">
        <v>0.95200000000000007</v>
      </c>
      <c r="H235">
        <v>2.83</v>
      </c>
      <c r="I235">
        <v>0</v>
      </c>
      <c r="J235">
        <v>3</v>
      </c>
      <c r="K235">
        <v>763159.92</v>
      </c>
      <c r="L235">
        <v>177104.87</v>
      </c>
    </row>
    <row r="236" spans="1:12">
      <c r="A236" t="s">
        <v>15</v>
      </c>
      <c r="B236" t="s">
        <v>18</v>
      </c>
      <c r="C236">
        <v>76942.2</v>
      </c>
      <c r="D236">
        <v>8934</v>
      </c>
      <c r="E236">
        <v>8.4000000000000005E-2</v>
      </c>
      <c r="F236">
        <v>20</v>
      </c>
      <c r="G236">
        <v>0.91</v>
      </c>
      <c r="H236">
        <v>0.95</v>
      </c>
      <c r="I236">
        <v>0</v>
      </c>
      <c r="J236">
        <v>3.2</v>
      </c>
      <c r="K236">
        <v>802001.68</v>
      </c>
      <c r="L236">
        <v>159715.82</v>
      </c>
    </row>
    <row r="237" spans="1:12">
      <c r="A237" t="s">
        <v>15</v>
      </c>
      <c r="B237" t="s">
        <v>18</v>
      </c>
      <c r="C237">
        <v>48060.78</v>
      </c>
      <c r="D237">
        <v>8733</v>
      </c>
      <c r="E237">
        <v>0</v>
      </c>
      <c r="F237">
        <v>20</v>
      </c>
      <c r="G237">
        <v>0.89900000000000002</v>
      </c>
      <c r="H237">
        <v>0.8</v>
      </c>
      <c r="I237">
        <v>0</v>
      </c>
      <c r="J237">
        <v>3.4</v>
      </c>
      <c r="K237">
        <v>750471.34</v>
      </c>
      <c r="L237">
        <v>133788.04</v>
      </c>
    </row>
    <row r="238" spans="1:12">
      <c r="A238" t="s">
        <v>15</v>
      </c>
      <c r="B238" t="s">
        <v>18</v>
      </c>
      <c r="C238">
        <v>57390.04</v>
      </c>
      <c r="D238">
        <v>7374</v>
      </c>
      <c r="E238">
        <v>0.21</v>
      </c>
      <c r="F238">
        <v>21</v>
      </c>
      <c r="G238">
        <v>0.91799999999999993</v>
      </c>
      <c r="H238">
        <v>0.2</v>
      </c>
      <c r="I238">
        <v>0</v>
      </c>
      <c r="J238">
        <v>3.1</v>
      </c>
      <c r="K238">
        <v>679230.86</v>
      </c>
      <c r="L238">
        <v>106927.58</v>
      </c>
    </row>
    <row r="239" spans="1:12">
      <c r="A239" t="s">
        <v>15</v>
      </c>
      <c r="B239" t="s">
        <v>18</v>
      </c>
      <c r="C239">
        <v>21536.18</v>
      </c>
      <c r="D239">
        <v>8119</v>
      </c>
      <c r="E239">
        <v>0.22700000000000001</v>
      </c>
      <c r="F239">
        <v>20</v>
      </c>
      <c r="G239">
        <v>0.90400000000000003</v>
      </c>
      <c r="H239">
        <v>1.7</v>
      </c>
      <c r="I239">
        <v>0</v>
      </c>
      <c r="J239">
        <v>3.3</v>
      </c>
      <c r="K239">
        <v>679888.74</v>
      </c>
      <c r="L239">
        <v>83406.89</v>
      </c>
    </row>
    <row r="240" spans="1:12">
      <c r="A240" t="s">
        <v>20</v>
      </c>
      <c r="B240" t="s">
        <v>18</v>
      </c>
      <c r="C240">
        <v>72932.55</v>
      </c>
      <c r="D240">
        <v>5765</v>
      </c>
      <c r="E240">
        <v>2.5999999999999999E-2</v>
      </c>
      <c r="F240">
        <v>17</v>
      </c>
      <c r="G240">
        <v>0.81799999999999995</v>
      </c>
      <c r="H240">
        <v>5.0999999999999996</v>
      </c>
      <c r="I240">
        <v>0</v>
      </c>
      <c r="J240">
        <v>3.6</v>
      </c>
      <c r="K240">
        <v>642751.42000000004</v>
      </c>
      <c r="L240">
        <v>131942.15</v>
      </c>
    </row>
    <row r="241" spans="1:12">
      <c r="A241" t="s">
        <v>20</v>
      </c>
      <c r="B241" t="s">
        <v>18</v>
      </c>
      <c r="C241">
        <v>38361.93</v>
      </c>
      <c r="D241">
        <v>6322</v>
      </c>
      <c r="E241">
        <v>0.27300000000000002</v>
      </c>
      <c r="F241">
        <v>15</v>
      </c>
      <c r="G241">
        <v>0.88400000000000001</v>
      </c>
      <c r="H241">
        <v>0.83</v>
      </c>
      <c r="I241">
        <v>0</v>
      </c>
      <c r="J241">
        <v>4</v>
      </c>
      <c r="K241">
        <v>647953.78</v>
      </c>
      <c r="L241">
        <v>118497.43</v>
      </c>
    </row>
    <row r="242" spans="1:12">
      <c r="A242" t="s">
        <v>20</v>
      </c>
      <c r="B242" t="s">
        <v>18</v>
      </c>
      <c r="C242">
        <v>97480.94</v>
      </c>
      <c r="D242">
        <v>6840</v>
      </c>
      <c r="E242">
        <v>8.6999999999999994E-2</v>
      </c>
      <c r="F242">
        <v>14</v>
      </c>
      <c r="G242">
        <v>0.79200000000000004</v>
      </c>
      <c r="H242">
        <v>1.1399999999999999</v>
      </c>
      <c r="I242">
        <v>0</v>
      </c>
      <c r="J242">
        <v>4</v>
      </c>
      <c r="K242">
        <v>729440.45</v>
      </c>
      <c r="L242">
        <v>87614.29</v>
      </c>
    </row>
    <row r="243" spans="1:12">
      <c r="A243" t="s">
        <v>24</v>
      </c>
      <c r="B243" t="s">
        <v>21</v>
      </c>
      <c r="C243">
        <v>81801.8</v>
      </c>
      <c r="D243">
        <v>6782</v>
      </c>
      <c r="E243">
        <v>0.05</v>
      </c>
      <c r="F243">
        <v>16</v>
      </c>
      <c r="G243">
        <v>0.99</v>
      </c>
      <c r="H243">
        <v>9.5399999999999991</v>
      </c>
      <c r="I243">
        <v>0</v>
      </c>
      <c r="J243">
        <v>3.7</v>
      </c>
      <c r="K243">
        <v>764949</v>
      </c>
      <c r="L243">
        <v>148322.43</v>
      </c>
    </row>
    <row r="244" spans="1:12">
      <c r="A244" t="s">
        <v>24</v>
      </c>
      <c r="B244" t="s">
        <v>21</v>
      </c>
      <c r="C244">
        <v>63582.11</v>
      </c>
      <c r="D244">
        <v>6856</v>
      </c>
      <c r="E244">
        <v>7.3999999999999996E-2</v>
      </c>
      <c r="F244">
        <v>17</v>
      </c>
      <c r="G244">
        <v>0.89500000000000002</v>
      </c>
      <c r="H244">
        <v>5.48</v>
      </c>
      <c r="I244">
        <v>0</v>
      </c>
      <c r="J244">
        <v>3.2</v>
      </c>
      <c r="K244">
        <v>799046.94</v>
      </c>
      <c r="L244">
        <v>144553.64000000001</v>
      </c>
    </row>
    <row r="245" spans="1:12">
      <c r="A245" t="s">
        <v>24</v>
      </c>
      <c r="B245" t="s">
        <v>21</v>
      </c>
      <c r="C245">
        <v>75412.740000000005</v>
      </c>
      <c r="D245">
        <v>5641</v>
      </c>
      <c r="E245">
        <v>5.8999999999999997E-2</v>
      </c>
      <c r="F245">
        <v>13</v>
      </c>
      <c r="G245">
        <v>0.879</v>
      </c>
      <c r="H245">
        <v>0.84</v>
      </c>
      <c r="I245">
        <v>0</v>
      </c>
      <c r="J245">
        <v>3.6</v>
      </c>
      <c r="K245">
        <v>720079.54</v>
      </c>
      <c r="L245">
        <v>119499.47</v>
      </c>
    </row>
    <row r="246" spans="1:12">
      <c r="A246" t="s">
        <v>24</v>
      </c>
      <c r="B246" t="s">
        <v>21</v>
      </c>
      <c r="C246">
        <v>36290.080000000002</v>
      </c>
      <c r="D246">
        <v>5787</v>
      </c>
      <c r="E246">
        <v>0</v>
      </c>
      <c r="F246">
        <v>17</v>
      </c>
      <c r="G246">
        <v>0.88300000000000001</v>
      </c>
      <c r="H246">
        <v>4.1900000000000004</v>
      </c>
      <c r="I246">
        <v>0</v>
      </c>
      <c r="J246">
        <v>4.0999999999999996</v>
      </c>
      <c r="K246">
        <v>612390.14</v>
      </c>
      <c r="L246">
        <v>108985.74</v>
      </c>
    </row>
    <row r="247" spans="1:12">
      <c r="A247" t="s">
        <v>24</v>
      </c>
      <c r="B247" t="s">
        <v>28</v>
      </c>
      <c r="C247">
        <v>65272.58</v>
      </c>
      <c r="D247">
        <v>8165</v>
      </c>
      <c r="E247">
        <v>5.0999999999999997E-2</v>
      </c>
      <c r="F247">
        <v>19</v>
      </c>
      <c r="G247">
        <v>0.878</v>
      </c>
      <c r="H247">
        <v>1.26</v>
      </c>
      <c r="I247">
        <v>1</v>
      </c>
      <c r="J247">
        <v>4.3</v>
      </c>
      <c r="K247">
        <v>840108.12</v>
      </c>
      <c r="L247">
        <v>126587.01</v>
      </c>
    </row>
    <row r="248" spans="1:12">
      <c r="A248" t="s">
        <v>24</v>
      </c>
      <c r="B248" t="s">
        <v>28</v>
      </c>
      <c r="C248">
        <v>28670.43</v>
      </c>
      <c r="D248">
        <v>7574</v>
      </c>
      <c r="E248">
        <v>0.114</v>
      </c>
      <c r="F248">
        <v>19</v>
      </c>
      <c r="G248">
        <v>0.82700000000000007</v>
      </c>
      <c r="H248">
        <v>2.74</v>
      </c>
      <c r="I248">
        <v>0</v>
      </c>
      <c r="J248">
        <v>4.5999999999999996</v>
      </c>
      <c r="K248">
        <v>697888.09</v>
      </c>
      <c r="L248">
        <v>116249.87</v>
      </c>
    </row>
    <row r="249" spans="1:12">
      <c r="A249" t="s">
        <v>24</v>
      </c>
      <c r="B249" t="s">
        <v>28</v>
      </c>
      <c r="C249">
        <v>44189.34</v>
      </c>
      <c r="D249">
        <v>8634</v>
      </c>
      <c r="E249">
        <v>0.14299999999999999</v>
      </c>
      <c r="F249">
        <v>19</v>
      </c>
      <c r="G249">
        <v>0.875</v>
      </c>
      <c r="H249">
        <v>3.69</v>
      </c>
      <c r="I249">
        <v>0</v>
      </c>
      <c r="J249">
        <v>4.4000000000000004</v>
      </c>
      <c r="K249">
        <v>746115.59</v>
      </c>
      <c r="L249">
        <v>94662.96</v>
      </c>
    </row>
    <row r="250" spans="1:12">
      <c r="A250" t="s">
        <v>24</v>
      </c>
      <c r="B250" t="s">
        <v>28</v>
      </c>
      <c r="C250">
        <v>38397.82</v>
      </c>
      <c r="D250">
        <v>7836</v>
      </c>
      <c r="E250">
        <v>7.0000000000000001E-3</v>
      </c>
      <c r="F250">
        <v>21</v>
      </c>
      <c r="G250">
        <v>0.92200000000000004</v>
      </c>
      <c r="H250">
        <v>1.82</v>
      </c>
      <c r="I250">
        <v>0</v>
      </c>
      <c r="J250">
        <v>3.6</v>
      </c>
      <c r="K250">
        <v>776110.32</v>
      </c>
      <c r="L250">
        <v>139676.21</v>
      </c>
    </row>
    <row r="251" spans="1:12">
      <c r="A251" t="s">
        <v>27</v>
      </c>
      <c r="B251" t="s">
        <v>18</v>
      </c>
      <c r="C251">
        <v>14519.37</v>
      </c>
      <c r="D251">
        <v>3047</v>
      </c>
      <c r="E251">
        <v>0.13500000000000001</v>
      </c>
      <c r="F251">
        <v>10</v>
      </c>
      <c r="G251">
        <v>0.90300000000000002</v>
      </c>
      <c r="H251">
        <v>6.62</v>
      </c>
      <c r="I251">
        <v>0</v>
      </c>
      <c r="J251">
        <v>4.2</v>
      </c>
      <c r="K251">
        <v>528852.62</v>
      </c>
      <c r="L251">
        <v>68426.210000000006</v>
      </c>
    </row>
    <row r="252" spans="1:12">
      <c r="A252" t="s">
        <v>27</v>
      </c>
      <c r="B252" t="s">
        <v>18</v>
      </c>
      <c r="C252">
        <v>51450.55</v>
      </c>
      <c r="D252">
        <v>4902</v>
      </c>
      <c r="E252">
        <v>8.5999999999999993E-2</v>
      </c>
      <c r="F252">
        <v>11</v>
      </c>
      <c r="G252">
        <v>0.83700000000000008</v>
      </c>
      <c r="H252">
        <v>6.92</v>
      </c>
      <c r="I252">
        <v>1</v>
      </c>
      <c r="J252">
        <v>4.2</v>
      </c>
      <c r="K252">
        <v>677640.65</v>
      </c>
      <c r="L252">
        <v>111610.89</v>
      </c>
    </row>
    <row r="253" spans="1:12">
      <c r="A253" t="s">
        <v>27</v>
      </c>
      <c r="B253" t="s">
        <v>18</v>
      </c>
      <c r="C253">
        <v>58688.26</v>
      </c>
      <c r="D253">
        <v>4022</v>
      </c>
      <c r="E253">
        <v>0.217</v>
      </c>
      <c r="F253">
        <v>12</v>
      </c>
      <c r="G253">
        <v>0.93799999999999994</v>
      </c>
      <c r="H253">
        <v>11.78</v>
      </c>
      <c r="I253">
        <v>0</v>
      </c>
      <c r="J253">
        <v>3.7</v>
      </c>
      <c r="K253">
        <v>636613.23</v>
      </c>
      <c r="L253">
        <v>78908.350000000006</v>
      </c>
    </row>
    <row r="254" spans="1:12">
      <c r="A254" t="s">
        <v>15</v>
      </c>
      <c r="B254" t="s">
        <v>18</v>
      </c>
      <c r="C254">
        <v>58981.91</v>
      </c>
      <c r="D254">
        <v>7324</v>
      </c>
      <c r="E254">
        <v>9.4E-2</v>
      </c>
      <c r="F254">
        <v>15</v>
      </c>
      <c r="G254">
        <v>0.95799999999999996</v>
      </c>
      <c r="H254">
        <v>0.5</v>
      </c>
      <c r="I254">
        <v>0</v>
      </c>
      <c r="J254">
        <v>3.5</v>
      </c>
      <c r="K254">
        <v>708985.19</v>
      </c>
      <c r="L254">
        <v>125368.16</v>
      </c>
    </row>
    <row r="255" spans="1:12">
      <c r="A255" t="s">
        <v>15</v>
      </c>
      <c r="B255" t="s">
        <v>18</v>
      </c>
      <c r="C255">
        <v>73454.539999999994</v>
      </c>
      <c r="D255">
        <v>8129</v>
      </c>
      <c r="E255">
        <v>0.21099999999999999</v>
      </c>
      <c r="F255">
        <v>20</v>
      </c>
      <c r="G255">
        <v>0.85199999999999998</v>
      </c>
      <c r="H255">
        <v>0.88</v>
      </c>
      <c r="I255">
        <v>0</v>
      </c>
      <c r="J255">
        <v>3.7</v>
      </c>
      <c r="K255">
        <v>767792.94</v>
      </c>
      <c r="L255">
        <v>96235.77</v>
      </c>
    </row>
    <row r="256" spans="1:12">
      <c r="A256" t="s">
        <v>15</v>
      </c>
      <c r="B256" t="s">
        <v>18</v>
      </c>
      <c r="C256">
        <v>56602.39</v>
      </c>
      <c r="D256">
        <v>7969</v>
      </c>
      <c r="E256">
        <v>0.17</v>
      </c>
      <c r="F256">
        <v>21</v>
      </c>
      <c r="G256">
        <v>0.88300000000000001</v>
      </c>
      <c r="H256">
        <v>2.25</v>
      </c>
      <c r="I256">
        <v>0</v>
      </c>
      <c r="J256">
        <v>3.7</v>
      </c>
      <c r="K256">
        <v>745580.51</v>
      </c>
      <c r="L256">
        <v>116273.68</v>
      </c>
    </row>
    <row r="257" spans="1:12">
      <c r="A257" t="s">
        <v>15</v>
      </c>
      <c r="B257" t="s">
        <v>18</v>
      </c>
      <c r="C257">
        <v>67722.289999999994</v>
      </c>
      <c r="D257">
        <v>7240</v>
      </c>
      <c r="E257">
        <v>2.5999999999999999E-2</v>
      </c>
      <c r="F257">
        <v>15</v>
      </c>
      <c r="G257">
        <v>0.92900000000000005</v>
      </c>
      <c r="H257">
        <v>0.28999999999999998</v>
      </c>
      <c r="I257">
        <v>0</v>
      </c>
      <c r="J257">
        <v>3.5</v>
      </c>
      <c r="K257">
        <v>762328.31</v>
      </c>
      <c r="L257">
        <v>159158.19</v>
      </c>
    </row>
    <row r="258" spans="1:12">
      <c r="A258" t="s">
        <v>15</v>
      </c>
      <c r="B258" t="s">
        <v>28</v>
      </c>
      <c r="C258">
        <v>48752.92</v>
      </c>
      <c r="D258">
        <v>8052</v>
      </c>
      <c r="E258">
        <v>0.106</v>
      </c>
      <c r="F258">
        <v>16</v>
      </c>
      <c r="G258">
        <v>0.94900000000000007</v>
      </c>
      <c r="H258">
        <v>0.65</v>
      </c>
      <c r="I258">
        <v>0</v>
      </c>
      <c r="J258">
        <v>3.6</v>
      </c>
      <c r="K258">
        <v>660633.99</v>
      </c>
      <c r="L258">
        <v>118768.66</v>
      </c>
    </row>
    <row r="259" spans="1:12">
      <c r="A259" t="s">
        <v>15</v>
      </c>
      <c r="B259" t="s">
        <v>28</v>
      </c>
      <c r="C259">
        <v>23914.97</v>
      </c>
      <c r="D259">
        <v>8018</v>
      </c>
      <c r="E259">
        <v>0.13900000000000001</v>
      </c>
      <c r="F259">
        <v>20</v>
      </c>
      <c r="G259">
        <v>0.89</v>
      </c>
      <c r="H259">
        <v>0.2</v>
      </c>
      <c r="I259">
        <v>0</v>
      </c>
      <c r="J259">
        <v>3.5</v>
      </c>
      <c r="K259">
        <v>739374.56</v>
      </c>
      <c r="L259">
        <v>121032.29</v>
      </c>
    </row>
    <row r="260" spans="1:12">
      <c r="A260" t="s">
        <v>15</v>
      </c>
      <c r="B260" t="s">
        <v>28</v>
      </c>
      <c r="C260">
        <v>61995.3</v>
      </c>
      <c r="D260">
        <v>10192</v>
      </c>
      <c r="E260">
        <v>0.19800000000000001</v>
      </c>
      <c r="F260">
        <v>21</v>
      </c>
      <c r="G260">
        <v>0.87599999999999989</v>
      </c>
      <c r="H260">
        <v>3.63</v>
      </c>
      <c r="I260">
        <v>1</v>
      </c>
      <c r="J260">
        <v>3.8</v>
      </c>
      <c r="K260">
        <v>799756.46</v>
      </c>
      <c r="L260">
        <v>105052.93</v>
      </c>
    </row>
    <row r="261" spans="1:12">
      <c r="A261" t="s">
        <v>15</v>
      </c>
      <c r="B261" t="s">
        <v>28</v>
      </c>
      <c r="C261">
        <v>29344.93</v>
      </c>
      <c r="D261">
        <v>7446</v>
      </c>
      <c r="E261">
        <v>0.111</v>
      </c>
      <c r="F261">
        <v>15</v>
      </c>
      <c r="G261">
        <v>0.86199999999999999</v>
      </c>
      <c r="H261">
        <v>0.2</v>
      </c>
      <c r="I261">
        <v>0</v>
      </c>
      <c r="J261">
        <v>3.2</v>
      </c>
      <c r="K261">
        <v>593343</v>
      </c>
      <c r="L261">
        <v>82832.240000000005</v>
      </c>
    </row>
    <row r="262" spans="1:12">
      <c r="A262" t="s">
        <v>27</v>
      </c>
      <c r="B262" t="s">
        <v>18</v>
      </c>
      <c r="C262">
        <v>50532.17</v>
      </c>
      <c r="D262">
        <v>5689</v>
      </c>
      <c r="E262">
        <v>5.1999999999999998E-2</v>
      </c>
      <c r="F262">
        <v>17</v>
      </c>
      <c r="G262">
        <v>0.85599999999999998</v>
      </c>
      <c r="H262">
        <v>6.23</v>
      </c>
      <c r="I262">
        <v>0</v>
      </c>
      <c r="J262">
        <v>3.3</v>
      </c>
      <c r="K262">
        <v>645039.97</v>
      </c>
      <c r="L262">
        <v>83093.33</v>
      </c>
    </row>
    <row r="263" spans="1:12">
      <c r="A263" t="s">
        <v>27</v>
      </c>
      <c r="B263" t="s">
        <v>18</v>
      </c>
      <c r="C263">
        <v>17562.57</v>
      </c>
      <c r="D263">
        <v>3326</v>
      </c>
      <c r="E263">
        <v>0.153</v>
      </c>
      <c r="F263">
        <v>14</v>
      </c>
      <c r="G263">
        <v>0.88099999999999989</v>
      </c>
      <c r="H263">
        <v>1.04</v>
      </c>
      <c r="I263">
        <v>0</v>
      </c>
      <c r="J263">
        <v>3.1</v>
      </c>
      <c r="K263">
        <v>561597.32999999996</v>
      </c>
      <c r="L263">
        <v>75072.75</v>
      </c>
    </row>
    <row r="264" spans="1:12">
      <c r="A264" t="s">
        <v>27</v>
      </c>
      <c r="B264" t="s">
        <v>18</v>
      </c>
      <c r="C264">
        <v>47648.71</v>
      </c>
      <c r="D264">
        <v>5767</v>
      </c>
      <c r="E264">
        <v>0.14099999999999999</v>
      </c>
      <c r="F264">
        <v>17</v>
      </c>
      <c r="G264">
        <v>0.89800000000000002</v>
      </c>
      <c r="H264">
        <v>1.76</v>
      </c>
      <c r="I264">
        <v>0</v>
      </c>
      <c r="J264">
        <v>3.1</v>
      </c>
      <c r="K264">
        <v>635837.74</v>
      </c>
      <c r="L264">
        <v>114740.64</v>
      </c>
    </row>
    <row r="265" spans="1:12">
      <c r="A265" t="s">
        <v>27</v>
      </c>
      <c r="B265" t="s">
        <v>18</v>
      </c>
      <c r="C265">
        <v>38297.58</v>
      </c>
      <c r="D265">
        <v>5893</v>
      </c>
      <c r="E265">
        <v>0.247</v>
      </c>
      <c r="F265">
        <v>18</v>
      </c>
      <c r="G265">
        <v>0.77599999999999991</v>
      </c>
      <c r="H265">
        <v>2.86</v>
      </c>
      <c r="I265">
        <v>0</v>
      </c>
      <c r="J265">
        <v>3</v>
      </c>
      <c r="K265">
        <v>686737.87</v>
      </c>
      <c r="L265">
        <v>83839.67</v>
      </c>
    </row>
    <row r="266" spans="1:12">
      <c r="A266" t="s">
        <v>24</v>
      </c>
      <c r="B266" t="s">
        <v>16</v>
      </c>
      <c r="C266">
        <v>61784.11</v>
      </c>
      <c r="D266">
        <v>8564</v>
      </c>
      <c r="E266">
        <v>0.13</v>
      </c>
      <c r="F266">
        <v>17</v>
      </c>
      <c r="G266">
        <v>0.87400000000000011</v>
      </c>
      <c r="H266">
        <v>18.14</v>
      </c>
      <c r="I266">
        <v>1</v>
      </c>
      <c r="J266">
        <v>3.4</v>
      </c>
      <c r="K266">
        <v>673076.34</v>
      </c>
      <c r="L266">
        <v>93899.76</v>
      </c>
    </row>
    <row r="267" spans="1:12">
      <c r="A267" t="s">
        <v>24</v>
      </c>
      <c r="B267" t="s">
        <v>16</v>
      </c>
      <c r="C267">
        <v>36832.33</v>
      </c>
      <c r="D267">
        <v>8001</v>
      </c>
      <c r="E267">
        <v>0</v>
      </c>
      <c r="F267">
        <v>19</v>
      </c>
      <c r="G267">
        <v>0.88700000000000001</v>
      </c>
      <c r="H267">
        <v>3.39</v>
      </c>
      <c r="I267">
        <v>0</v>
      </c>
      <c r="J267">
        <v>4</v>
      </c>
      <c r="K267">
        <v>738548.42</v>
      </c>
      <c r="L267">
        <v>134282.76999999999</v>
      </c>
    </row>
    <row r="268" spans="1:12">
      <c r="A268" t="s">
        <v>24</v>
      </c>
      <c r="B268" t="s">
        <v>16</v>
      </c>
      <c r="C268">
        <v>48609.41</v>
      </c>
      <c r="D268">
        <v>9324</v>
      </c>
      <c r="E268">
        <v>0.21299999999999999</v>
      </c>
      <c r="F268">
        <v>18</v>
      </c>
      <c r="G268">
        <v>0.86499999999999999</v>
      </c>
      <c r="H268">
        <v>1.44</v>
      </c>
      <c r="I268">
        <v>0</v>
      </c>
      <c r="J268">
        <v>3.9</v>
      </c>
      <c r="K268">
        <v>756619.77</v>
      </c>
      <c r="L268">
        <v>112057.69</v>
      </c>
    </row>
    <row r="269" spans="1:12">
      <c r="A269" t="s">
        <v>24</v>
      </c>
      <c r="B269" t="s">
        <v>16</v>
      </c>
      <c r="C269">
        <v>70284.06</v>
      </c>
      <c r="D269">
        <v>9109</v>
      </c>
      <c r="E269">
        <v>4.0000000000000001E-3</v>
      </c>
      <c r="F269">
        <v>23</v>
      </c>
      <c r="G269">
        <v>0.87</v>
      </c>
      <c r="H269">
        <v>3.65</v>
      </c>
      <c r="I269">
        <v>0</v>
      </c>
      <c r="J269">
        <v>3.7</v>
      </c>
      <c r="K269">
        <v>761122.42</v>
      </c>
      <c r="L269">
        <v>149802.04</v>
      </c>
    </row>
    <row r="270" spans="1:12">
      <c r="A270" t="s">
        <v>24</v>
      </c>
      <c r="B270" t="s">
        <v>18</v>
      </c>
      <c r="C270">
        <v>45940.39</v>
      </c>
      <c r="D270">
        <v>4022</v>
      </c>
      <c r="E270">
        <v>6.9000000000000006E-2</v>
      </c>
      <c r="F270">
        <v>10</v>
      </c>
      <c r="G270">
        <v>0.83</v>
      </c>
      <c r="H270">
        <v>1.23</v>
      </c>
      <c r="I270">
        <v>1</v>
      </c>
      <c r="J270">
        <v>3.8</v>
      </c>
      <c r="K270">
        <v>524899.56999999995</v>
      </c>
      <c r="L270">
        <v>63619.98</v>
      </c>
    </row>
    <row r="271" spans="1:12">
      <c r="A271" t="s">
        <v>24</v>
      </c>
      <c r="B271" t="s">
        <v>18</v>
      </c>
      <c r="C271">
        <v>34771.26</v>
      </c>
      <c r="D271">
        <v>4355</v>
      </c>
      <c r="E271">
        <v>5.0999999999999997E-2</v>
      </c>
      <c r="F271">
        <v>15</v>
      </c>
      <c r="G271">
        <v>0.879</v>
      </c>
      <c r="H271">
        <v>3.09</v>
      </c>
      <c r="I271">
        <v>0</v>
      </c>
      <c r="J271">
        <v>4</v>
      </c>
      <c r="K271">
        <v>555557.77</v>
      </c>
      <c r="L271">
        <v>86475.51</v>
      </c>
    </row>
    <row r="272" spans="1:12">
      <c r="A272" t="s">
        <v>24</v>
      </c>
      <c r="B272" t="s">
        <v>18</v>
      </c>
      <c r="C272">
        <v>66104.19</v>
      </c>
      <c r="D272">
        <v>5745</v>
      </c>
      <c r="E272">
        <v>7.0000000000000007E-2</v>
      </c>
      <c r="F272">
        <v>17</v>
      </c>
      <c r="G272">
        <v>0.95799999999999996</v>
      </c>
      <c r="H272">
        <v>3.15</v>
      </c>
      <c r="I272">
        <v>0</v>
      </c>
      <c r="J272">
        <v>4</v>
      </c>
      <c r="K272">
        <v>714083.68</v>
      </c>
      <c r="L272">
        <v>127231.74</v>
      </c>
    </row>
    <row r="273" spans="1:12">
      <c r="A273" t="s">
        <v>24</v>
      </c>
      <c r="B273" t="s">
        <v>18</v>
      </c>
      <c r="C273">
        <v>18599.21</v>
      </c>
      <c r="D273">
        <v>3027</v>
      </c>
      <c r="E273">
        <v>0.122</v>
      </c>
      <c r="F273">
        <v>11</v>
      </c>
      <c r="G273">
        <v>0.80900000000000005</v>
      </c>
      <c r="H273">
        <v>6.44</v>
      </c>
      <c r="I273">
        <v>0</v>
      </c>
      <c r="J273">
        <v>4.2</v>
      </c>
      <c r="K273">
        <v>497439.82</v>
      </c>
      <c r="L273">
        <v>93372.75</v>
      </c>
    </row>
    <row r="274" spans="1:12">
      <c r="A274" t="s">
        <v>27</v>
      </c>
      <c r="B274" t="s">
        <v>16</v>
      </c>
      <c r="C274">
        <v>60183.06</v>
      </c>
      <c r="D274">
        <v>5562</v>
      </c>
      <c r="E274">
        <v>8.9999999999999993E-3</v>
      </c>
      <c r="F274">
        <v>13</v>
      </c>
      <c r="G274">
        <v>0.86299999999999999</v>
      </c>
      <c r="H274">
        <v>0.2</v>
      </c>
      <c r="I274">
        <v>1</v>
      </c>
      <c r="J274">
        <v>4.5</v>
      </c>
      <c r="K274">
        <v>636775.66</v>
      </c>
      <c r="L274">
        <v>122636.86</v>
      </c>
    </row>
    <row r="275" spans="1:12">
      <c r="A275" t="s">
        <v>27</v>
      </c>
      <c r="B275" t="s">
        <v>16</v>
      </c>
      <c r="C275">
        <v>74539.14</v>
      </c>
      <c r="D275">
        <v>4487</v>
      </c>
      <c r="E275">
        <v>0.14000000000000001</v>
      </c>
      <c r="F275">
        <v>10</v>
      </c>
      <c r="G275">
        <v>0.90400000000000003</v>
      </c>
      <c r="H275">
        <v>0.59</v>
      </c>
      <c r="I275">
        <v>0</v>
      </c>
      <c r="J275">
        <v>4.5</v>
      </c>
      <c r="K275">
        <v>633009.53</v>
      </c>
      <c r="L275">
        <v>123782.67</v>
      </c>
    </row>
    <row r="276" spans="1:12">
      <c r="A276" t="s">
        <v>27</v>
      </c>
      <c r="B276" t="s">
        <v>16</v>
      </c>
      <c r="C276">
        <v>55371.97</v>
      </c>
      <c r="D276">
        <v>4162</v>
      </c>
      <c r="E276">
        <v>0.183</v>
      </c>
      <c r="F276">
        <v>11</v>
      </c>
      <c r="G276">
        <v>0.92</v>
      </c>
      <c r="H276">
        <v>0.2</v>
      </c>
      <c r="I276">
        <v>1</v>
      </c>
      <c r="J276">
        <v>4.2</v>
      </c>
      <c r="K276">
        <v>609949</v>
      </c>
      <c r="L276">
        <v>126789.25</v>
      </c>
    </row>
    <row r="277" spans="1:12">
      <c r="A277" t="s">
        <v>27</v>
      </c>
      <c r="B277" t="s">
        <v>16</v>
      </c>
      <c r="C277">
        <v>40928.69</v>
      </c>
      <c r="D277">
        <v>4094</v>
      </c>
      <c r="E277">
        <v>0.17399999999999999</v>
      </c>
      <c r="F277">
        <v>13</v>
      </c>
      <c r="G277">
        <v>0.82400000000000007</v>
      </c>
      <c r="H277">
        <v>1.36</v>
      </c>
      <c r="I277">
        <v>0</v>
      </c>
      <c r="J277">
        <v>4.8</v>
      </c>
      <c r="K277">
        <v>548103.69999999995</v>
      </c>
      <c r="L277">
        <v>99905.52</v>
      </c>
    </row>
    <row r="278" spans="1:12">
      <c r="A278" t="s">
        <v>15</v>
      </c>
      <c r="B278" t="s">
        <v>16</v>
      </c>
      <c r="C278">
        <v>70012.41</v>
      </c>
      <c r="D278">
        <v>8484</v>
      </c>
      <c r="E278">
        <v>0.27300000000000002</v>
      </c>
      <c r="F278">
        <v>23</v>
      </c>
      <c r="G278">
        <v>0.72900000000000009</v>
      </c>
      <c r="H278">
        <v>3.34</v>
      </c>
      <c r="I278">
        <v>0</v>
      </c>
      <c r="J278">
        <v>3.7</v>
      </c>
      <c r="K278">
        <v>729424.42</v>
      </c>
      <c r="L278">
        <v>75592.28</v>
      </c>
    </row>
    <row r="279" spans="1:12">
      <c r="A279" t="s">
        <v>15</v>
      </c>
      <c r="B279" t="s">
        <v>16</v>
      </c>
      <c r="C279">
        <v>68909.259999999995</v>
      </c>
      <c r="D279">
        <v>7794</v>
      </c>
      <c r="E279">
        <v>0.28399999999999997</v>
      </c>
      <c r="F279">
        <v>22</v>
      </c>
      <c r="G279">
        <v>0.89</v>
      </c>
      <c r="H279">
        <v>0.33</v>
      </c>
      <c r="I279">
        <v>0</v>
      </c>
      <c r="J279">
        <v>4</v>
      </c>
      <c r="K279">
        <v>696261.49</v>
      </c>
      <c r="L279">
        <v>72455.350000000006</v>
      </c>
    </row>
    <row r="280" spans="1:12">
      <c r="A280" t="s">
        <v>15</v>
      </c>
      <c r="B280" t="s">
        <v>16</v>
      </c>
      <c r="C280">
        <v>56737.3</v>
      </c>
      <c r="D280">
        <v>8300</v>
      </c>
      <c r="E280">
        <v>3.2000000000000001E-2</v>
      </c>
      <c r="F280">
        <v>21</v>
      </c>
      <c r="G280">
        <v>0.83200000000000007</v>
      </c>
      <c r="H280">
        <v>3.44</v>
      </c>
      <c r="I280">
        <v>1</v>
      </c>
      <c r="J280">
        <v>4.3</v>
      </c>
      <c r="K280">
        <v>813316.71</v>
      </c>
      <c r="L280">
        <v>110077.42</v>
      </c>
    </row>
    <row r="281" spans="1:12">
      <c r="A281" t="s">
        <v>15</v>
      </c>
      <c r="B281" t="s">
        <v>16</v>
      </c>
      <c r="C281">
        <v>54080.91</v>
      </c>
      <c r="D281">
        <v>7083</v>
      </c>
      <c r="E281">
        <v>0</v>
      </c>
      <c r="F281">
        <v>15</v>
      </c>
      <c r="G281">
        <v>0.97</v>
      </c>
      <c r="H281">
        <v>5.33</v>
      </c>
      <c r="I281">
        <v>0</v>
      </c>
      <c r="J281">
        <v>4.0999999999999996</v>
      </c>
      <c r="K281">
        <v>702068.92</v>
      </c>
      <c r="L281">
        <v>111266.63</v>
      </c>
    </row>
    <row r="282" spans="1:12">
      <c r="A282" t="s">
        <v>27</v>
      </c>
      <c r="B282" t="s">
        <v>18</v>
      </c>
      <c r="C282">
        <v>51996.32</v>
      </c>
      <c r="D282">
        <v>3834</v>
      </c>
      <c r="E282">
        <v>9.6000000000000002E-2</v>
      </c>
      <c r="F282">
        <v>8</v>
      </c>
      <c r="G282">
        <v>0.86699999999999999</v>
      </c>
      <c r="H282">
        <v>6.04</v>
      </c>
      <c r="I282">
        <v>0</v>
      </c>
      <c r="J282">
        <v>4.5</v>
      </c>
      <c r="K282">
        <v>546223.69999999995</v>
      </c>
      <c r="L282">
        <v>100769.17</v>
      </c>
    </row>
    <row r="283" spans="1:12">
      <c r="A283" t="s">
        <v>27</v>
      </c>
      <c r="B283" t="s">
        <v>18</v>
      </c>
      <c r="C283">
        <v>40102.879999999997</v>
      </c>
      <c r="D283">
        <v>2358</v>
      </c>
      <c r="E283">
        <v>0.11899999999999999</v>
      </c>
      <c r="F283">
        <v>9</v>
      </c>
      <c r="G283">
        <v>0.88700000000000001</v>
      </c>
      <c r="H283">
        <v>1.6</v>
      </c>
      <c r="I283">
        <v>0</v>
      </c>
      <c r="J283">
        <v>4.2</v>
      </c>
      <c r="K283">
        <v>533121.26</v>
      </c>
      <c r="L283">
        <v>55063.39</v>
      </c>
    </row>
    <row r="284" spans="1:12">
      <c r="A284" t="s">
        <v>27</v>
      </c>
      <c r="B284" t="s">
        <v>18</v>
      </c>
      <c r="C284">
        <v>59825.51</v>
      </c>
      <c r="D284">
        <v>1231</v>
      </c>
      <c r="E284">
        <v>0.214</v>
      </c>
      <c r="F284">
        <v>10</v>
      </c>
      <c r="G284">
        <v>0.84799999999999998</v>
      </c>
      <c r="H284">
        <v>8.9600000000000009</v>
      </c>
      <c r="I284">
        <v>0</v>
      </c>
      <c r="J284">
        <v>4.7</v>
      </c>
      <c r="K284">
        <v>498970.32</v>
      </c>
      <c r="L284">
        <v>69656.7</v>
      </c>
    </row>
    <row r="285" spans="1:12">
      <c r="A285" t="s">
        <v>27</v>
      </c>
      <c r="B285" t="s">
        <v>18</v>
      </c>
      <c r="C285">
        <v>27398.28</v>
      </c>
      <c r="D285">
        <v>1723</v>
      </c>
      <c r="E285">
        <v>0.17100000000000001</v>
      </c>
      <c r="F285">
        <v>9</v>
      </c>
      <c r="G285">
        <v>0.81</v>
      </c>
      <c r="H285">
        <v>0.74</v>
      </c>
      <c r="I285">
        <v>0</v>
      </c>
      <c r="J285">
        <v>4.5999999999999996</v>
      </c>
      <c r="K285">
        <v>487738.26</v>
      </c>
      <c r="L285">
        <v>96435.6</v>
      </c>
    </row>
    <row r="286" spans="1:12">
      <c r="A286" t="s">
        <v>27</v>
      </c>
      <c r="B286" t="s">
        <v>18</v>
      </c>
      <c r="C286">
        <v>55599.56</v>
      </c>
      <c r="D286">
        <v>5896</v>
      </c>
      <c r="E286">
        <v>3.5999999999999997E-2</v>
      </c>
      <c r="F286">
        <v>12</v>
      </c>
      <c r="G286">
        <v>0.93099999999999994</v>
      </c>
      <c r="H286">
        <v>6.13</v>
      </c>
      <c r="I286">
        <v>0</v>
      </c>
      <c r="J286">
        <v>3.3</v>
      </c>
      <c r="K286">
        <v>668459.37</v>
      </c>
      <c r="L286">
        <v>126435.42</v>
      </c>
    </row>
    <row r="287" spans="1:12">
      <c r="A287" t="s">
        <v>27</v>
      </c>
      <c r="B287" t="s">
        <v>18</v>
      </c>
      <c r="C287">
        <v>55477.61</v>
      </c>
      <c r="D287">
        <v>5903</v>
      </c>
      <c r="E287">
        <v>0.10199999999999999</v>
      </c>
      <c r="F287">
        <v>14</v>
      </c>
      <c r="G287">
        <v>0.96200000000000008</v>
      </c>
      <c r="H287">
        <v>1.41</v>
      </c>
      <c r="I287">
        <v>0</v>
      </c>
      <c r="J287">
        <v>3.3</v>
      </c>
      <c r="K287">
        <v>763162.45</v>
      </c>
      <c r="L287">
        <v>162524.04999999999</v>
      </c>
    </row>
    <row r="288" spans="1:12">
      <c r="A288" t="s">
        <v>27</v>
      </c>
      <c r="B288" t="s">
        <v>18</v>
      </c>
      <c r="C288">
        <v>46174.7</v>
      </c>
      <c r="D288">
        <v>4898</v>
      </c>
      <c r="E288">
        <v>0.114</v>
      </c>
      <c r="F288">
        <v>11</v>
      </c>
      <c r="G288">
        <v>0.91700000000000004</v>
      </c>
      <c r="H288">
        <v>3.75</v>
      </c>
      <c r="I288">
        <v>0</v>
      </c>
      <c r="J288">
        <v>3.1</v>
      </c>
      <c r="K288">
        <v>599017.32999999996</v>
      </c>
      <c r="L288">
        <v>134009.92000000001</v>
      </c>
    </row>
    <row r="289" spans="1:12">
      <c r="A289" t="s">
        <v>27</v>
      </c>
      <c r="B289" t="s">
        <v>18</v>
      </c>
      <c r="C289">
        <v>24362.98</v>
      </c>
      <c r="D289">
        <v>1462</v>
      </c>
      <c r="E289">
        <v>0.11700000000000001</v>
      </c>
      <c r="F289">
        <v>6</v>
      </c>
      <c r="G289">
        <v>0.89300000000000002</v>
      </c>
      <c r="H289">
        <v>15.06</v>
      </c>
      <c r="I289">
        <v>0</v>
      </c>
      <c r="J289">
        <v>3.2</v>
      </c>
      <c r="K289">
        <v>401582.58</v>
      </c>
      <c r="L289">
        <v>68454.929999999993</v>
      </c>
    </row>
    <row r="290" spans="1:12">
      <c r="A290" t="s">
        <v>20</v>
      </c>
      <c r="B290" t="s">
        <v>28</v>
      </c>
      <c r="C290">
        <v>40647.67</v>
      </c>
      <c r="D290">
        <v>8252</v>
      </c>
      <c r="E290">
        <v>0.14099999999999999</v>
      </c>
      <c r="F290">
        <v>22</v>
      </c>
      <c r="G290">
        <v>0.88200000000000001</v>
      </c>
      <c r="H290">
        <v>5.07</v>
      </c>
      <c r="I290">
        <v>1</v>
      </c>
      <c r="J290">
        <v>4.0999999999999996</v>
      </c>
      <c r="K290">
        <v>703812.99</v>
      </c>
      <c r="L290">
        <v>133577.98000000001</v>
      </c>
    </row>
    <row r="291" spans="1:12">
      <c r="A291" t="s">
        <v>20</v>
      </c>
      <c r="B291" t="s">
        <v>28</v>
      </c>
      <c r="C291">
        <v>63986.98</v>
      </c>
      <c r="D291">
        <v>7989</v>
      </c>
      <c r="E291">
        <v>7.3999999999999996E-2</v>
      </c>
      <c r="F291">
        <v>20</v>
      </c>
      <c r="G291">
        <v>0.83299999999999996</v>
      </c>
      <c r="H291">
        <v>3.6</v>
      </c>
      <c r="I291">
        <v>0</v>
      </c>
      <c r="J291">
        <v>3.7</v>
      </c>
      <c r="K291">
        <v>724346.73</v>
      </c>
      <c r="L291">
        <v>155013.91</v>
      </c>
    </row>
    <row r="292" spans="1:12">
      <c r="A292" t="s">
        <v>20</v>
      </c>
      <c r="B292" t="s">
        <v>28</v>
      </c>
      <c r="C292">
        <v>52843.75</v>
      </c>
      <c r="D292">
        <v>8268</v>
      </c>
      <c r="E292">
        <v>0.13800000000000001</v>
      </c>
      <c r="F292">
        <v>19</v>
      </c>
      <c r="G292">
        <v>0.873</v>
      </c>
      <c r="H292">
        <v>4.3899999999999997</v>
      </c>
      <c r="I292">
        <v>1</v>
      </c>
      <c r="J292">
        <v>4.7</v>
      </c>
      <c r="K292">
        <v>730890.01</v>
      </c>
      <c r="L292">
        <v>105502.56</v>
      </c>
    </row>
    <row r="293" spans="1:12">
      <c r="A293" t="s">
        <v>20</v>
      </c>
      <c r="B293" t="s">
        <v>28</v>
      </c>
      <c r="C293">
        <v>31997.25</v>
      </c>
      <c r="D293">
        <v>8183</v>
      </c>
      <c r="E293">
        <v>0.19800000000000001</v>
      </c>
      <c r="F293">
        <v>18</v>
      </c>
      <c r="G293">
        <v>0.93</v>
      </c>
      <c r="H293">
        <v>2.79</v>
      </c>
      <c r="I293">
        <v>0</v>
      </c>
      <c r="J293">
        <v>4.2</v>
      </c>
      <c r="K293">
        <v>780580.95</v>
      </c>
      <c r="L293">
        <v>138144.46</v>
      </c>
    </row>
    <row r="294" spans="1:12">
      <c r="A294" t="s">
        <v>24</v>
      </c>
      <c r="B294" t="s">
        <v>16</v>
      </c>
      <c r="C294">
        <v>54948.02</v>
      </c>
      <c r="D294">
        <v>6534</v>
      </c>
      <c r="E294">
        <v>0.183</v>
      </c>
      <c r="F294">
        <v>14</v>
      </c>
      <c r="G294">
        <v>0.94499999999999995</v>
      </c>
      <c r="H294">
        <v>1.56</v>
      </c>
      <c r="I294">
        <v>0</v>
      </c>
      <c r="J294">
        <v>4</v>
      </c>
      <c r="K294">
        <v>727957.48</v>
      </c>
      <c r="L294">
        <v>74805.23</v>
      </c>
    </row>
    <row r="295" spans="1:12">
      <c r="A295" t="s">
        <v>24</v>
      </c>
      <c r="B295" t="s">
        <v>16</v>
      </c>
      <c r="C295">
        <v>46146.239999999998</v>
      </c>
      <c r="D295">
        <v>5804</v>
      </c>
      <c r="E295">
        <v>4.7E-2</v>
      </c>
      <c r="F295">
        <v>16</v>
      </c>
      <c r="G295">
        <v>0.86900000000000011</v>
      </c>
      <c r="H295">
        <v>15.82</v>
      </c>
      <c r="I295">
        <v>0</v>
      </c>
      <c r="J295">
        <v>3.8</v>
      </c>
      <c r="K295">
        <v>538376</v>
      </c>
      <c r="L295">
        <v>87605.62</v>
      </c>
    </row>
    <row r="296" spans="1:12">
      <c r="A296" t="s">
        <v>24</v>
      </c>
      <c r="B296" t="s">
        <v>16</v>
      </c>
      <c r="C296">
        <v>22387.26</v>
      </c>
      <c r="D296">
        <v>6301</v>
      </c>
      <c r="E296">
        <v>0.14599999999999999</v>
      </c>
      <c r="F296">
        <v>14</v>
      </c>
      <c r="G296">
        <v>0.8590000000000001</v>
      </c>
      <c r="H296">
        <v>1.17</v>
      </c>
      <c r="I296">
        <v>1</v>
      </c>
      <c r="J296">
        <v>3.7</v>
      </c>
      <c r="K296">
        <v>665342.49</v>
      </c>
      <c r="L296">
        <v>93441.81</v>
      </c>
    </row>
    <row r="297" spans="1:12">
      <c r="A297" t="s">
        <v>24</v>
      </c>
      <c r="B297" t="s">
        <v>16</v>
      </c>
      <c r="C297">
        <v>60684.05</v>
      </c>
      <c r="D297">
        <v>6399</v>
      </c>
      <c r="E297">
        <v>7.4999999999999997E-2</v>
      </c>
      <c r="F297">
        <v>16</v>
      </c>
      <c r="G297">
        <v>0.99</v>
      </c>
      <c r="H297">
        <v>3.82</v>
      </c>
      <c r="I297">
        <v>0</v>
      </c>
      <c r="J297">
        <v>3.5</v>
      </c>
      <c r="K297">
        <v>651164.18000000005</v>
      </c>
      <c r="L297">
        <v>109466.5</v>
      </c>
    </row>
    <row r="298" spans="1:12">
      <c r="A298" t="s">
        <v>24</v>
      </c>
      <c r="B298" t="s">
        <v>18</v>
      </c>
      <c r="C298">
        <v>48465.599999999999</v>
      </c>
      <c r="D298">
        <v>5759</v>
      </c>
      <c r="E298">
        <v>0.154</v>
      </c>
      <c r="F298">
        <v>13</v>
      </c>
      <c r="G298">
        <v>0.875</v>
      </c>
      <c r="H298">
        <v>4.1399999999999997</v>
      </c>
      <c r="I298">
        <v>0</v>
      </c>
      <c r="J298">
        <v>4</v>
      </c>
      <c r="K298">
        <v>628538.30000000005</v>
      </c>
      <c r="L298">
        <v>112509.15</v>
      </c>
    </row>
    <row r="299" spans="1:12">
      <c r="A299" t="s">
        <v>24</v>
      </c>
      <c r="B299" t="s">
        <v>18</v>
      </c>
      <c r="C299">
        <v>23702.38</v>
      </c>
      <c r="D299">
        <v>5285</v>
      </c>
      <c r="E299">
        <v>0.16700000000000001</v>
      </c>
      <c r="F299">
        <v>14</v>
      </c>
      <c r="G299">
        <v>0.79700000000000004</v>
      </c>
      <c r="H299">
        <v>1.1000000000000001</v>
      </c>
      <c r="I299">
        <v>0</v>
      </c>
      <c r="J299">
        <v>4.3</v>
      </c>
      <c r="K299">
        <v>536524.84</v>
      </c>
      <c r="L299">
        <v>92752.94</v>
      </c>
    </row>
    <row r="300" spans="1:12">
      <c r="A300" t="s">
        <v>24</v>
      </c>
      <c r="B300" t="s">
        <v>18</v>
      </c>
      <c r="C300">
        <v>54322.94</v>
      </c>
      <c r="D300">
        <v>5434</v>
      </c>
      <c r="E300">
        <v>0.2</v>
      </c>
      <c r="F300">
        <v>13</v>
      </c>
      <c r="G300">
        <v>0.85699999999999998</v>
      </c>
      <c r="H300">
        <v>10.6</v>
      </c>
      <c r="I300">
        <v>0</v>
      </c>
      <c r="J300">
        <v>4.2</v>
      </c>
      <c r="K300">
        <v>621677.30000000005</v>
      </c>
      <c r="L300">
        <v>105192.52</v>
      </c>
    </row>
    <row r="301" spans="1:12">
      <c r="A301" t="s">
        <v>20</v>
      </c>
      <c r="B301" t="s">
        <v>16</v>
      </c>
      <c r="C301">
        <v>78967.520000000004</v>
      </c>
      <c r="D301">
        <v>6164</v>
      </c>
      <c r="E301">
        <v>2.1000000000000001E-2</v>
      </c>
      <c r="F301">
        <v>16</v>
      </c>
      <c r="G301">
        <v>0.85499999999999998</v>
      </c>
      <c r="H301">
        <v>0.2</v>
      </c>
      <c r="I301">
        <v>0</v>
      </c>
      <c r="J301">
        <v>3.4</v>
      </c>
      <c r="K301">
        <v>702052.47</v>
      </c>
      <c r="L301">
        <v>121732.51</v>
      </c>
    </row>
    <row r="302" spans="1:12">
      <c r="A302" t="s">
        <v>20</v>
      </c>
      <c r="B302" t="s">
        <v>16</v>
      </c>
      <c r="C302">
        <v>62507.16</v>
      </c>
      <c r="D302">
        <v>6000</v>
      </c>
      <c r="E302">
        <v>9.0999999999999998E-2</v>
      </c>
      <c r="F302">
        <v>14</v>
      </c>
      <c r="G302">
        <v>0.98199999999999998</v>
      </c>
      <c r="H302">
        <v>4.38</v>
      </c>
      <c r="I302">
        <v>1</v>
      </c>
      <c r="J302">
        <v>3.9</v>
      </c>
      <c r="K302">
        <v>712375.77</v>
      </c>
      <c r="L302">
        <v>104171.53</v>
      </c>
    </row>
    <row r="303" spans="1:12">
      <c r="A303" t="s">
        <v>20</v>
      </c>
      <c r="B303" t="s">
        <v>16</v>
      </c>
      <c r="C303">
        <v>66456.28</v>
      </c>
      <c r="D303">
        <v>9967</v>
      </c>
      <c r="E303">
        <v>0.108</v>
      </c>
      <c r="F303">
        <v>20</v>
      </c>
      <c r="G303">
        <v>0.94700000000000006</v>
      </c>
      <c r="H303">
        <v>4.4800000000000004</v>
      </c>
      <c r="I303">
        <v>0</v>
      </c>
      <c r="J303">
        <v>4.2</v>
      </c>
      <c r="K303">
        <v>844710.67</v>
      </c>
      <c r="L303">
        <v>137140.18</v>
      </c>
    </row>
    <row r="304" spans="1:12">
      <c r="A304" t="s">
        <v>15</v>
      </c>
      <c r="B304" t="s">
        <v>16</v>
      </c>
      <c r="C304">
        <v>76614.320000000007</v>
      </c>
      <c r="D304">
        <v>5639</v>
      </c>
      <c r="E304">
        <v>0.17399999999999999</v>
      </c>
      <c r="F304">
        <v>15</v>
      </c>
      <c r="G304">
        <v>0.92900000000000005</v>
      </c>
      <c r="H304">
        <v>1.02</v>
      </c>
      <c r="I304">
        <v>1</v>
      </c>
      <c r="J304">
        <v>4</v>
      </c>
      <c r="K304">
        <v>620264.19999999995</v>
      </c>
      <c r="L304">
        <v>91365.64</v>
      </c>
    </row>
    <row r="305" spans="1:12">
      <c r="A305" t="s">
        <v>15</v>
      </c>
      <c r="B305" t="s">
        <v>16</v>
      </c>
      <c r="C305">
        <v>24088.06</v>
      </c>
      <c r="D305">
        <v>3466</v>
      </c>
      <c r="E305">
        <v>0</v>
      </c>
      <c r="F305">
        <v>11</v>
      </c>
      <c r="G305">
        <v>0.88</v>
      </c>
      <c r="H305">
        <v>0.2</v>
      </c>
      <c r="I305">
        <v>0</v>
      </c>
      <c r="J305">
        <v>3.8</v>
      </c>
      <c r="K305">
        <v>536845.42000000004</v>
      </c>
      <c r="L305">
        <v>107473.75</v>
      </c>
    </row>
    <row r="306" spans="1:12">
      <c r="A306" t="s">
        <v>15</v>
      </c>
      <c r="B306" t="s">
        <v>16</v>
      </c>
      <c r="C306">
        <v>81902.58</v>
      </c>
      <c r="D306">
        <v>7775</v>
      </c>
      <c r="E306">
        <v>0.215</v>
      </c>
      <c r="F306">
        <v>20</v>
      </c>
      <c r="G306">
        <v>0.85199999999999998</v>
      </c>
      <c r="H306">
        <v>4.8899999999999997</v>
      </c>
      <c r="I306">
        <v>1</v>
      </c>
      <c r="J306">
        <v>4.2</v>
      </c>
      <c r="K306">
        <v>726776.22</v>
      </c>
      <c r="L306">
        <v>90804.49</v>
      </c>
    </row>
    <row r="307" spans="1:12">
      <c r="A307" t="s">
        <v>15</v>
      </c>
      <c r="B307" t="s">
        <v>16</v>
      </c>
      <c r="C307">
        <v>40553.11</v>
      </c>
      <c r="D307">
        <v>5317</v>
      </c>
      <c r="E307">
        <v>0.16500000000000001</v>
      </c>
      <c r="F307">
        <v>17</v>
      </c>
      <c r="G307">
        <v>0.84299999999999997</v>
      </c>
      <c r="H307">
        <v>11.82</v>
      </c>
      <c r="I307">
        <v>0</v>
      </c>
      <c r="J307">
        <v>4.0999999999999996</v>
      </c>
      <c r="K307">
        <v>559660.84</v>
      </c>
      <c r="L307">
        <v>71443.61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36BB1-77B2-44F2-90AF-124B577033EE}">
  <dimension ref="A1:Q307"/>
  <sheetViews>
    <sheetView topLeftCell="A280" workbookViewId="0">
      <selection activeCell="S282" sqref="S282"/>
    </sheetView>
  </sheetViews>
  <sheetFormatPr defaultRowHeight="13.8"/>
  <cols>
    <col min="1" max="1" width="6.5" bestFit="1" customWidth="1"/>
    <col min="13" max="13" width="15" customWidth="1"/>
    <col min="14" max="14" width="10" customWidth="1"/>
    <col min="15" max="15" width="7.69921875" customWidth="1"/>
  </cols>
  <sheetData>
    <row r="1" spans="1:17" ht="55.2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142</v>
      </c>
      <c r="N1" s="2" t="s">
        <v>118</v>
      </c>
      <c r="O1" s="2" t="s">
        <v>143</v>
      </c>
      <c r="P1" s="2" t="s">
        <v>4</v>
      </c>
      <c r="Q1" s="2" t="s">
        <v>5</v>
      </c>
    </row>
    <row r="2" spans="1:17">
      <c r="A2" t="s">
        <v>15</v>
      </c>
      <c r="B2" t="s">
        <v>16</v>
      </c>
      <c r="C2">
        <v>70389.11</v>
      </c>
      <c r="D2">
        <v>8302</v>
      </c>
      <c r="E2">
        <v>4.2000000000000003E-2</v>
      </c>
      <c r="F2">
        <v>17</v>
      </c>
      <c r="G2">
        <v>0.75</v>
      </c>
      <c r="H2">
        <v>5.28</v>
      </c>
      <c r="I2">
        <v>1</v>
      </c>
      <c r="J2">
        <v>3.1</v>
      </c>
      <c r="K2">
        <v>658832.62</v>
      </c>
      <c r="L2">
        <v>84349.93</v>
      </c>
      <c r="M2">
        <f>IF(B2="High Street", 1, 0)</f>
        <v>0</v>
      </c>
      <c r="N2">
        <f>IF(B2="Airport", 1, 0)</f>
        <v>0</v>
      </c>
      <c r="O2">
        <f>IF(B2="Mall", 1, 0)</f>
        <v>0</v>
      </c>
      <c r="P2">
        <v>70389.11</v>
      </c>
      <c r="Q2">
        <v>8302</v>
      </c>
    </row>
    <row r="3" spans="1:17">
      <c r="A3" t="s">
        <v>15</v>
      </c>
      <c r="B3" t="s">
        <v>16</v>
      </c>
      <c r="C3">
        <v>43827.89</v>
      </c>
      <c r="D3">
        <v>8487</v>
      </c>
      <c r="E3">
        <v>0.16800000000000001</v>
      </c>
      <c r="F3">
        <v>23</v>
      </c>
      <c r="G3">
        <v>0.84400000000000008</v>
      </c>
      <c r="H3">
        <v>4.3099999999999996</v>
      </c>
      <c r="I3">
        <v>0</v>
      </c>
      <c r="J3">
        <v>2.8</v>
      </c>
      <c r="K3">
        <v>634436</v>
      </c>
      <c r="L3">
        <v>106130.54</v>
      </c>
      <c r="M3">
        <f t="shared" ref="M3:M66" si="0">IF(B3="High Street", 1, 0)</f>
        <v>0</v>
      </c>
      <c r="N3">
        <f t="shared" ref="N3:N66" si="1">IF(B3="Airport", 1, 0)</f>
        <v>0</v>
      </c>
      <c r="O3">
        <f t="shared" ref="O3:O66" si="2">IF(B3="Mall", 1, 0)</f>
        <v>0</v>
      </c>
      <c r="P3">
        <v>43827.89</v>
      </c>
      <c r="Q3">
        <v>8487</v>
      </c>
    </row>
    <row r="4" spans="1:17">
      <c r="A4" t="s">
        <v>15</v>
      </c>
      <c r="B4" t="s">
        <v>16</v>
      </c>
      <c r="C4">
        <v>59921.75</v>
      </c>
      <c r="D4">
        <v>9113</v>
      </c>
      <c r="E4">
        <v>0.13300000000000001</v>
      </c>
      <c r="F4">
        <v>20</v>
      </c>
      <c r="G4">
        <v>0.88</v>
      </c>
      <c r="H4">
        <v>12</v>
      </c>
      <c r="I4">
        <v>0</v>
      </c>
      <c r="J4">
        <v>3.2</v>
      </c>
      <c r="K4">
        <v>678722.06</v>
      </c>
      <c r="L4">
        <v>101883.86</v>
      </c>
      <c r="M4">
        <f t="shared" si="0"/>
        <v>0</v>
      </c>
      <c r="N4">
        <f t="shared" si="1"/>
        <v>0</v>
      </c>
      <c r="O4">
        <f t="shared" si="2"/>
        <v>0</v>
      </c>
      <c r="P4">
        <v>59921.75</v>
      </c>
      <c r="Q4">
        <v>9113</v>
      </c>
    </row>
    <row r="5" spans="1:17">
      <c r="A5" t="s">
        <v>15</v>
      </c>
      <c r="B5" t="s">
        <v>16</v>
      </c>
      <c r="C5">
        <v>56856.63</v>
      </c>
      <c r="D5">
        <v>9431</v>
      </c>
      <c r="E5">
        <v>0.14199999999999999</v>
      </c>
      <c r="F5">
        <v>23</v>
      </c>
      <c r="G5">
        <v>0.86900000000000011</v>
      </c>
      <c r="H5">
        <v>4.97</v>
      </c>
      <c r="I5">
        <v>0</v>
      </c>
      <c r="J5">
        <v>3.4</v>
      </c>
      <c r="K5">
        <v>658920.30000000005</v>
      </c>
      <c r="L5">
        <v>97910.37</v>
      </c>
      <c r="M5">
        <f t="shared" si="0"/>
        <v>0</v>
      </c>
      <c r="N5">
        <f t="shared" si="1"/>
        <v>0</v>
      </c>
      <c r="O5">
        <f t="shared" si="2"/>
        <v>0</v>
      </c>
      <c r="P5">
        <v>56856.63</v>
      </c>
      <c r="Q5">
        <v>9431</v>
      </c>
    </row>
    <row r="6" spans="1:17">
      <c r="A6" t="s">
        <v>15</v>
      </c>
      <c r="B6" t="s">
        <v>18</v>
      </c>
      <c r="C6">
        <v>48412.639999999999</v>
      </c>
      <c r="D6">
        <v>9545</v>
      </c>
      <c r="E6">
        <v>0.23100000000000001</v>
      </c>
      <c r="F6">
        <v>21</v>
      </c>
      <c r="G6">
        <v>0.97599999999999998</v>
      </c>
      <c r="H6">
        <v>6.94</v>
      </c>
      <c r="I6">
        <v>1</v>
      </c>
      <c r="J6">
        <v>4.2</v>
      </c>
      <c r="K6">
        <v>741341.44</v>
      </c>
      <c r="L6">
        <v>119208.17</v>
      </c>
      <c r="M6">
        <f t="shared" si="0"/>
        <v>1</v>
      </c>
      <c r="N6">
        <f t="shared" si="1"/>
        <v>0</v>
      </c>
      <c r="O6">
        <f t="shared" si="2"/>
        <v>0</v>
      </c>
      <c r="P6">
        <v>48412.639999999999</v>
      </c>
      <c r="Q6">
        <v>9545</v>
      </c>
    </row>
    <row r="7" spans="1:17">
      <c r="A7" t="s">
        <v>15</v>
      </c>
      <c r="B7" t="s">
        <v>18</v>
      </c>
      <c r="C7">
        <v>64811.21</v>
      </c>
      <c r="D7">
        <v>9792</v>
      </c>
      <c r="E7">
        <v>0.112</v>
      </c>
      <c r="F7">
        <v>20</v>
      </c>
      <c r="G7">
        <v>0.84200000000000008</v>
      </c>
      <c r="H7">
        <v>2.88</v>
      </c>
      <c r="I7">
        <v>0</v>
      </c>
      <c r="J7">
        <v>4.2</v>
      </c>
      <c r="K7">
        <v>761835.34</v>
      </c>
      <c r="L7">
        <v>149602.23000000001</v>
      </c>
      <c r="M7">
        <f t="shared" si="0"/>
        <v>1</v>
      </c>
      <c r="N7">
        <f t="shared" si="1"/>
        <v>0</v>
      </c>
      <c r="O7">
        <f t="shared" si="2"/>
        <v>0</v>
      </c>
      <c r="P7">
        <v>64811.21</v>
      </c>
      <c r="Q7">
        <v>9792</v>
      </c>
    </row>
    <row r="8" spans="1:17">
      <c r="A8" t="s">
        <v>15</v>
      </c>
      <c r="B8" t="s">
        <v>18</v>
      </c>
      <c r="C8">
        <v>46213.45</v>
      </c>
      <c r="D8">
        <v>10616</v>
      </c>
      <c r="E8">
        <v>0.122</v>
      </c>
      <c r="F8">
        <v>22</v>
      </c>
      <c r="G8">
        <v>0.85199999999999998</v>
      </c>
      <c r="H8">
        <v>0.2</v>
      </c>
      <c r="I8">
        <v>1</v>
      </c>
      <c r="J8">
        <v>4.0999999999999996</v>
      </c>
      <c r="K8">
        <v>806615.54</v>
      </c>
      <c r="L8">
        <v>131364.62</v>
      </c>
      <c r="M8">
        <f t="shared" si="0"/>
        <v>1</v>
      </c>
      <c r="N8">
        <f t="shared" si="1"/>
        <v>0</v>
      </c>
      <c r="O8">
        <f t="shared" si="2"/>
        <v>0</v>
      </c>
      <c r="P8">
        <v>46213.45</v>
      </c>
      <c r="Q8">
        <v>10616</v>
      </c>
    </row>
    <row r="9" spans="1:17">
      <c r="A9" t="s">
        <v>15</v>
      </c>
      <c r="B9" t="s">
        <v>18</v>
      </c>
      <c r="C9">
        <v>68148.52</v>
      </c>
      <c r="D9">
        <v>8567</v>
      </c>
      <c r="E9">
        <v>0.127</v>
      </c>
      <c r="F9">
        <v>23</v>
      </c>
      <c r="G9">
        <v>0.95599999999999996</v>
      </c>
      <c r="H9">
        <v>0.8</v>
      </c>
      <c r="I9">
        <v>0</v>
      </c>
      <c r="J9">
        <v>3.9</v>
      </c>
      <c r="K9">
        <v>850164.26</v>
      </c>
      <c r="L9">
        <v>149262.75</v>
      </c>
      <c r="M9">
        <f t="shared" si="0"/>
        <v>1</v>
      </c>
      <c r="N9">
        <f t="shared" si="1"/>
        <v>0</v>
      </c>
      <c r="O9">
        <f t="shared" si="2"/>
        <v>0</v>
      </c>
      <c r="P9">
        <v>68148.52</v>
      </c>
      <c r="Q9">
        <v>8567</v>
      </c>
    </row>
    <row r="10" spans="1:17">
      <c r="A10" t="s">
        <v>20</v>
      </c>
      <c r="B10" t="s">
        <v>21</v>
      </c>
      <c r="C10">
        <v>71838.86</v>
      </c>
      <c r="D10">
        <v>10979</v>
      </c>
      <c r="E10">
        <v>0.215</v>
      </c>
      <c r="F10">
        <v>26</v>
      </c>
      <c r="G10">
        <v>0.8859999999999999</v>
      </c>
      <c r="H10">
        <v>7.7</v>
      </c>
      <c r="I10">
        <v>1</v>
      </c>
      <c r="J10">
        <v>3.8</v>
      </c>
      <c r="K10">
        <v>930581.7</v>
      </c>
      <c r="L10">
        <v>136207.98000000001</v>
      </c>
      <c r="M10">
        <f t="shared" si="0"/>
        <v>0</v>
      </c>
      <c r="N10">
        <f t="shared" si="1"/>
        <v>1</v>
      </c>
      <c r="O10">
        <f t="shared" si="2"/>
        <v>0</v>
      </c>
      <c r="P10">
        <v>71838.86</v>
      </c>
      <c r="Q10">
        <v>10979</v>
      </c>
    </row>
    <row r="11" spans="1:17">
      <c r="A11" t="s">
        <v>20</v>
      </c>
      <c r="B11" t="s">
        <v>21</v>
      </c>
      <c r="C11">
        <v>68133.440000000002</v>
      </c>
      <c r="D11">
        <v>9459</v>
      </c>
      <c r="E11">
        <v>0.22</v>
      </c>
      <c r="F11">
        <v>21</v>
      </c>
      <c r="G11">
        <v>0.85</v>
      </c>
      <c r="H11">
        <v>1.91</v>
      </c>
      <c r="I11">
        <v>0</v>
      </c>
      <c r="J11">
        <v>4.2</v>
      </c>
      <c r="K11">
        <v>779010.94</v>
      </c>
      <c r="L11">
        <v>106328.09</v>
      </c>
      <c r="M11">
        <f t="shared" si="0"/>
        <v>0</v>
      </c>
      <c r="N11">
        <f t="shared" si="1"/>
        <v>1</v>
      </c>
      <c r="O11">
        <f t="shared" si="2"/>
        <v>0</v>
      </c>
      <c r="P11">
        <v>68133.440000000002</v>
      </c>
      <c r="Q11">
        <v>9459</v>
      </c>
    </row>
    <row r="12" spans="1:17">
      <c r="A12" t="s">
        <v>20</v>
      </c>
      <c r="B12" t="s">
        <v>21</v>
      </c>
      <c r="C12">
        <v>34285.21</v>
      </c>
      <c r="D12">
        <v>9172</v>
      </c>
      <c r="E12">
        <v>0.21299999999999999</v>
      </c>
      <c r="F12">
        <v>22</v>
      </c>
      <c r="G12">
        <v>0.88300000000000001</v>
      </c>
      <c r="H12">
        <v>10.46</v>
      </c>
      <c r="I12">
        <v>1</v>
      </c>
      <c r="J12">
        <v>3.8</v>
      </c>
      <c r="K12">
        <v>723060.76</v>
      </c>
      <c r="L12">
        <v>123131.24</v>
      </c>
      <c r="M12">
        <f t="shared" si="0"/>
        <v>0</v>
      </c>
      <c r="N12">
        <f t="shared" si="1"/>
        <v>1</v>
      </c>
      <c r="O12">
        <f t="shared" si="2"/>
        <v>0</v>
      </c>
      <c r="P12">
        <v>34285.21</v>
      </c>
      <c r="Q12">
        <v>9172</v>
      </c>
    </row>
    <row r="13" spans="1:17">
      <c r="A13" t="s">
        <v>20</v>
      </c>
      <c r="B13" t="s">
        <v>21</v>
      </c>
      <c r="C13">
        <v>67979.88</v>
      </c>
      <c r="D13">
        <v>11230</v>
      </c>
      <c r="E13">
        <v>2E-3</v>
      </c>
      <c r="F13">
        <v>28</v>
      </c>
      <c r="G13">
        <v>0.85299999999999998</v>
      </c>
      <c r="H13">
        <v>7.16</v>
      </c>
      <c r="I13">
        <v>0</v>
      </c>
      <c r="J13">
        <v>3.8</v>
      </c>
      <c r="K13">
        <v>910791.94</v>
      </c>
      <c r="L13">
        <v>158891.28</v>
      </c>
      <c r="M13">
        <f t="shared" si="0"/>
        <v>0</v>
      </c>
      <c r="N13">
        <f t="shared" si="1"/>
        <v>1</v>
      </c>
      <c r="O13">
        <f t="shared" si="2"/>
        <v>0</v>
      </c>
      <c r="P13">
        <v>67979.88</v>
      </c>
      <c r="Q13">
        <v>11230</v>
      </c>
    </row>
    <row r="14" spans="1:17">
      <c r="A14" t="s">
        <v>15</v>
      </c>
      <c r="B14" t="s">
        <v>16</v>
      </c>
      <c r="C14">
        <v>71828.259999999995</v>
      </c>
      <c r="D14">
        <v>12775</v>
      </c>
      <c r="E14">
        <v>0.11600000000000001</v>
      </c>
      <c r="F14">
        <v>30</v>
      </c>
      <c r="G14">
        <v>0.81700000000000006</v>
      </c>
      <c r="H14">
        <v>4.24</v>
      </c>
      <c r="I14">
        <v>1</v>
      </c>
      <c r="J14">
        <v>4.2</v>
      </c>
      <c r="K14">
        <v>922168.6</v>
      </c>
      <c r="L14">
        <v>107494.53</v>
      </c>
      <c r="M14">
        <f t="shared" si="0"/>
        <v>0</v>
      </c>
      <c r="N14">
        <f t="shared" si="1"/>
        <v>0</v>
      </c>
      <c r="O14">
        <f t="shared" si="2"/>
        <v>0</v>
      </c>
      <c r="P14">
        <v>71828.259999999995</v>
      </c>
      <c r="Q14">
        <v>12775</v>
      </c>
    </row>
    <row r="15" spans="1:17">
      <c r="A15" t="s">
        <v>15</v>
      </c>
      <c r="B15" t="s">
        <v>16</v>
      </c>
      <c r="C15">
        <v>55716.82</v>
      </c>
      <c r="D15">
        <v>10054</v>
      </c>
      <c r="E15">
        <v>0.14599999999999999</v>
      </c>
      <c r="F15">
        <v>24</v>
      </c>
      <c r="G15">
        <v>0.84900000000000009</v>
      </c>
      <c r="H15">
        <v>1.06</v>
      </c>
      <c r="I15">
        <v>0</v>
      </c>
      <c r="J15">
        <v>4.3</v>
      </c>
      <c r="K15">
        <v>726606.28</v>
      </c>
      <c r="L15">
        <v>122729.29</v>
      </c>
      <c r="M15">
        <f t="shared" si="0"/>
        <v>0</v>
      </c>
      <c r="N15">
        <f t="shared" si="1"/>
        <v>0</v>
      </c>
      <c r="O15">
        <f t="shared" si="2"/>
        <v>0</v>
      </c>
      <c r="P15">
        <v>55716.82</v>
      </c>
      <c r="Q15">
        <v>10054</v>
      </c>
    </row>
    <row r="16" spans="1:17">
      <c r="A16" t="s">
        <v>15</v>
      </c>
      <c r="B16" t="s">
        <v>16</v>
      </c>
      <c r="C16">
        <v>59909.51</v>
      </c>
      <c r="D16">
        <v>8895</v>
      </c>
      <c r="E16">
        <v>0.22800000000000001</v>
      </c>
      <c r="F16">
        <v>23</v>
      </c>
      <c r="G16">
        <v>0.88800000000000001</v>
      </c>
      <c r="H16">
        <v>0.27</v>
      </c>
      <c r="I16">
        <v>0</v>
      </c>
      <c r="J16">
        <v>4.3</v>
      </c>
      <c r="K16">
        <v>746501.09</v>
      </c>
      <c r="L16">
        <v>136816.72</v>
      </c>
      <c r="M16">
        <f t="shared" si="0"/>
        <v>0</v>
      </c>
      <c r="N16">
        <f t="shared" si="1"/>
        <v>0</v>
      </c>
      <c r="O16">
        <f t="shared" si="2"/>
        <v>0</v>
      </c>
      <c r="P16">
        <v>59909.51</v>
      </c>
      <c r="Q16">
        <v>8895</v>
      </c>
    </row>
    <row r="17" spans="1:17">
      <c r="A17" t="s">
        <v>15</v>
      </c>
      <c r="B17" t="s">
        <v>16</v>
      </c>
      <c r="C17">
        <v>75305.710000000006</v>
      </c>
      <c r="D17">
        <v>10940</v>
      </c>
      <c r="E17">
        <v>6.0000000000000001E-3</v>
      </c>
      <c r="F17">
        <v>26</v>
      </c>
      <c r="G17">
        <v>0.76500000000000001</v>
      </c>
      <c r="H17">
        <v>1.32</v>
      </c>
      <c r="I17">
        <v>0</v>
      </c>
      <c r="J17">
        <v>4.5</v>
      </c>
      <c r="K17">
        <v>834017.02</v>
      </c>
      <c r="L17">
        <v>114745.03</v>
      </c>
      <c r="M17">
        <f t="shared" si="0"/>
        <v>0</v>
      </c>
      <c r="N17">
        <f t="shared" si="1"/>
        <v>0</v>
      </c>
      <c r="O17">
        <f t="shared" si="2"/>
        <v>0</v>
      </c>
      <c r="P17">
        <v>75305.710000000006</v>
      </c>
      <c r="Q17">
        <v>10940</v>
      </c>
    </row>
    <row r="18" spans="1:17">
      <c r="A18" t="s">
        <v>24</v>
      </c>
      <c r="B18" t="s">
        <v>16</v>
      </c>
      <c r="C18">
        <v>48804.22</v>
      </c>
      <c r="D18">
        <v>7057</v>
      </c>
      <c r="E18">
        <v>5.0000000000000001E-3</v>
      </c>
      <c r="F18">
        <v>15</v>
      </c>
      <c r="G18">
        <v>0.877</v>
      </c>
      <c r="H18">
        <v>1.22</v>
      </c>
      <c r="I18">
        <v>0</v>
      </c>
      <c r="J18">
        <v>3.7</v>
      </c>
      <c r="K18">
        <v>666152.52</v>
      </c>
      <c r="L18">
        <v>107490.58</v>
      </c>
      <c r="M18">
        <f t="shared" si="0"/>
        <v>0</v>
      </c>
      <c r="N18">
        <f t="shared" si="1"/>
        <v>0</v>
      </c>
      <c r="O18">
        <f t="shared" si="2"/>
        <v>0</v>
      </c>
      <c r="P18">
        <v>48804.22</v>
      </c>
      <c r="Q18">
        <v>7057</v>
      </c>
    </row>
    <row r="19" spans="1:17">
      <c r="A19" t="s">
        <v>24</v>
      </c>
      <c r="B19" t="s">
        <v>16</v>
      </c>
      <c r="C19">
        <v>59117.9</v>
      </c>
      <c r="D19">
        <v>4263</v>
      </c>
      <c r="E19">
        <v>0.11899999999999999</v>
      </c>
      <c r="F19">
        <v>9</v>
      </c>
      <c r="G19">
        <v>0.87599999999999989</v>
      </c>
      <c r="H19">
        <v>4.01</v>
      </c>
      <c r="I19">
        <v>0</v>
      </c>
      <c r="J19">
        <v>3.6</v>
      </c>
      <c r="K19">
        <v>573155.18999999994</v>
      </c>
      <c r="L19">
        <v>83680.75</v>
      </c>
      <c r="M19">
        <f t="shared" si="0"/>
        <v>0</v>
      </c>
      <c r="N19">
        <f t="shared" si="1"/>
        <v>0</v>
      </c>
      <c r="O19">
        <f t="shared" si="2"/>
        <v>0</v>
      </c>
      <c r="P19">
        <v>59117.9</v>
      </c>
      <c r="Q19">
        <v>4263</v>
      </c>
    </row>
    <row r="20" spans="1:17">
      <c r="A20" t="s">
        <v>24</v>
      </c>
      <c r="B20" t="s">
        <v>16</v>
      </c>
      <c r="C20">
        <v>78831.12</v>
      </c>
      <c r="D20">
        <v>5538</v>
      </c>
      <c r="E20">
        <v>0</v>
      </c>
      <c r="F20">
        <v>15</v>
      </c>
      <c r="G20">
        <v>0.94099999999999995</v>
      </c>
      <c r="H20">
        <v>0.2</v>
      </c>
      <c r="I20">
        <v>0</v>
      </c>
      <c r="J20">
        <v>3.9</v>
      </c>
      <c r="K20">
        <v>666573.19999999995</v>
      </c>
      <c r="L20">
        <v>140641.01999999999</v>
      </c>
      <c r="M20">
        <f t="shared" si="0"/>
        <v>0</v>
      </c>
      <c r="N20">
        <f t="shared" si="1"/>
        <v>0</v>
      </c>
      <c r="O20">
        <f t="shared" si="2"/>
        <v>0</v>
      </c>
      <c r="P20">
        <v>78831.12</v>
      </c>
      <c r="Q20">
        <v>5538</v>
      </c>
    </row>
    <row r="21" spans="1:17">
      <c r="A21" t="s">
        <v>24</v>
      </c>
      <c r="B21" t="s">
        <v>16</v>
      </c>
      <c r="C21">
        <v>41441.93</v>
      </c>
      <c r="D21">
        <v>4865</v>
      </c>
      <c r="E21">
        <v>0.158</v>
      </c>
      <c r="F21">
        <v>16</v>
      </c>
      <c r="G21">
        <v>0.88300000000000001</v>
      </c>
      <c r="H21">
        <v>0.5</v>
      </c>
      <c r="I21">
        <v>0</v>
      </c>
      <c r="J21">
        <v>4</v>
      </c>
      <c r="K21">
        <v>591619.94999999995</v>
      </c>
      <c r="L21">
        <v>99521.35</v>
      </c>
      <c r="M21">
        <f t="shared" si="0"/>
        <v>0</v>
      </c>
      <c r="N21">
        <f t="shared" si="1"/>
        <v>0</v>
      </c>
      <c r="O21">
        <f t="shared" si="2"/>
        <v>0</v>
      </c>
      <c r="P21">
        <v>41441.93</v>
      </c>
      <c r="Q21">
        <v>4865</v>
      </c>
    </row>
    <row r="22" spans="1:17">
      <c r="A22" t="s">
        <v>20</v>
      </c>
      <c r="B22" t="s">
        <v>16</v>
      </c>
      <c r="C22">
        <v>30356.28</v>
      </c>
      <c r="D22">
        <v>2822</v>
      </c>
      <c r="E22">
        <v>0.23100000000000001</v>
      </c>
      <c r="F22">
        <v>9</v>
      </c>
      <c r="G22">
        <v>0.84799999999999998</v>
      </c>
      <c r="H22">
        <v>6.95</v>
      </c>
      <c r="I22">
        <v>0</v>
      </c>
      <c r="J22">
        <v>5</v>
      </c>
      <c r="K22">
        <v>415721.82</v>
      </c>
      <c r="L22">
        <v>61179.15</v>
      </c>
      <c r="M22">
        <f t="shared" si="0"/>
        <v>0</v>
      </c>
      <c r="N22">
        <f t="shared" si="1"/>
        <v>0</v>
      </c>
      <c r="O22">
        <f t="shared" si="2"/>
        <v>0</v>
      </c>
      <c r="P22">
        <v>30356.28</v>
      </c>
      <c r="Q22">
        <v>2822</v>
      </c>
    </row>
    <row r="23" spans="1:17">
      <c r="A23" t="s">
        <v>20</v>
      </c>
      <c r="B23" t="s">
        <v>16</v>
      </c>
      <c r="C23">
        <v>33518.879999999997</v>
      </c>
      <c r="D23">
        <v>2121</v>
      </c>
      <c r="E23">
        <v>0.17599999999999999</v>
      </c>
      <c r="F23">
        <v>8</v>
      </c>
      <c r="G23">
        <v>0.88500000000000001</v>
      </c>
      <c r="H23">
        <v>0.2</v>
      </c>
      <c r="I23">
        <v>0</v>
      </c>
      <c r="J23">
        <v>5</v>
      </c>
      <c r="K23">
        <v>491905.13</v>
      </c>
      <c r="L23">
        <v>79212.259999999995</v>
      </c>
      <c r="M23">
        <f t="shared" si="0"/>
        <v>0</v>
      </c>
      <c r="N23">
        <f t="shared" si="1"/>
        <v>0</v>
      </c>
      <c r="O23">
        <f t="shared" si="2"/>
        <v>0</v>
      </c>
      <c r="P23">
        <v>33518.879999999997</v>
      </c>
      <c r="Q23">
        <v>2121</v>
      </c>
    </row>
    <row r="24" spans="1:17">
      <c r="A24" t="s">
        <v>20</v>
      </c>
      <c r="B24" t="s">
        <v>16</v>
      </c>
      <c r="C24">
        <v>42267.37</v>
      </c>
      <c r="D24">
        <v>3364</v>
      </c>
      <c r="E24">
        <v>0.16</v>
      </c>
      <c r="F24">
        <v>13</v>
      </c>
      <c r="G24">
        <v>0.82</v>
      </c>
      <c r="H24">
        <v>1.61</v>
      </c>
      <c r="I24">
        <v>1</v>
      </c>
      <c r="J24">
        <v>4.5999999999999996</v>
      </c>
      <c r="K24">
        <v>555929.4</v>
      </c>
      <c r="L24">
        <v>115201.76</v>
      </c>
      <c r="M24">
        <f t="shared" si="0"/>
        <v>0</v>
      </c>
      <c r="N24">
        <f t="shared" si="1"/>
        <v>0</v>
      </c>
      <c r="O24">
        <f t="shared" si="2"/>
        <v>0</v>
      </c>
      <c r="P24">
        <v>42267.37</v>
      </c>
      <c r="Q24">
        <v>3364</v>
      </c>
    </row>
    <row r="25" spans="1:17">
      <c r="A25" t="s">
        <v>20</v>
      </c>
      <c r="B25" t="s">
        <v>16</v>
      </c>
      <c r="C25">
        <v>62060.43</v>
      </c>
      <c r="D25">
        <v>2613</v>
      </c>
      <c r="E25">
        <v>0.216</v>
      </c>
      <c r="F25">
        <v>12</v>
      </c>
      <c r="G25">
        <v>0.92099999999999993</v>
      </c>
      <c r="H25">
        <v>1.55</v>
      </c>
      <c r="I25">
        <v>0</v>
      </c>
      <c r="J25">
        <v>4.7</v>
      </c>
      <c r="K25">
        <v>565810.99</v>
      </c>
      <c r="L25">
        <v>77825.460000000006</v>
      </c>
      <c r="M25">
        <f t="shared" si="0"/>
        <v>0</v>
      </c>
      <c r="N25">
        <f t="shared" si="1"/>
        <v>0</v>
      </c>
      <c r="O25">
        <f t="shared" si="2"/>
        <v>0</v>
      </c>
      <c r="P25">
        <v>62060.43</v>
      </c>
      <c r="Q25">
        <v>2613</v>
      </c>
    </row>
    <row r="26" spans="1:17">
      <c r="A26" t="s">
        <v>27</v>
      </c>
      <c r="B26" t="s">
        <v>28</v>
      </c>
      <c r="C26">
        <v>57696.69</v>
      </c>
      <c r="D26">
        <v>10218</v>
      </c>
      <c r="E26">
        <v>0.121</v>
      </c>
      <c r="F26">
        <v>25</v>
      </c>
      <c r="G26">
        <v>0.94799999999999995</v>
      </c>
      <c r="H26">
        <v>2.99</v>
      </c>
      <c r="I26">
        <v>0</v>
      </c>
      <c r="J26">
        <v>3.5</v>
      </c>
      <c r="K26">
        <v>811771.14</v>
      </c>
      <c r="L26">
        <v>148756.24</v>
      </c>
      <c r="M26">
        <f t="shared" si="0"/>
        <v>0</v>
      </c>
      <c r="N26">
        <f t="shared" si="1"/>
        <v>0</v>
      </c>
      <c r="O26">
        <f t="shared" si="2"/>
        <v>1</v>
      </c>
      <c r="P26">
        <v>57696.69</v>
      </c>
      <c r="Q26">
        <v>10218</v>
      </c>
    </row>
    <row r="27" spans="1:17">
      <c r="A27" t="s">
        <v>27</v>
      </c>
      <c r="B27" t="s">
        <v>28</v>
      </c>
      <c r="C27">
        <v>172415.52</v>
      </c>
      <c r="D27">
        <v>8927</v>
      </c>
      <c r="E27">
        <v>0.14000000000000001</v>
      </c>
      <c r="F27">
        <v>22</v>
      </c>
      <c r="G27">
        <v>0.86199999999999999</v>
      </c>
      <c r="H27">
        <v>7.04</v>
      </c>
      <c r="I27">
        <v>0</v>
      </c>
      <c r="J27">
        <v>3.9</v>
      </c>
      <c r="K27">
        <v>800451.94</v>
      </c>
      <c r="L27">
        <v>111572.29</v>
      </c>
      <c r="M27">
        <f t="shared" si="0"/>
        <v>0</v>
      </c>
      <c r="N27">
        <f t="shared" si="1"/>
        <v>0</v>
      </c>
      <c r="O27">
        <f t="shared" si="2"/>
        <v>1</v>
      </c>
      <c r="P27">
        <v>172415.52</v>
      </c>
      <c r="Q27">
        <v>8927</v>
      </c>
    </row>
    <row r="28" spans="1:17">
      <c r="A28" t="s">
        <v>27</v>
      </c>
      <c r="B28" t="s">
        <v>28</v>
      </c>
      <c r="C28">
        <v>55270.52</v>
      </c>
      <c r="D28">
        <v>9315</v>
      </c>
      <c r="E28">
        <v>0.16900000000000001</v>
      </c>
      <c r="F28">
        <v>23</v>
      </c>
      <c r="G28">
        <v>0.91900000000000004</v>
      </c>
      <c r="H28">
        <v>4.9400000000000004</v>
      </c>
      <c r="I28">
        <v>0</v>
      </c>
      <c r="J28">
        <v>4</v>
      </c>
      <c r="K28">
        <v>783672.82</v>
      </c>
      <c r="L28">
        <v>112577.14</v>
      </c>
      <c r="M28">
        <f t="shared" si="0"/>
        <v>0</v>
      </c>
      <c r="N28">
        <f t="shared" si="1"/>
        <v>0</v>
      </c>
      <c r="O28">
        <f t="shared" si="2"/>
        <v>1</v>
      </c>
      <c r="P28">
        <v>55270.52</v>
      </c>
      <c r="Q28">
        <v>9315</v>
      </c>
    </row>
    <row r="29" spans="1:17">
      <c r="A29" t="s">
        <v>27</v>
      </c>
      <c r="B29" t="s">
        <v>28</v>
      </c>
      <c r="C29">
        <v>52715.1</v>
      </c>
      <c r="D29">
        <v>7223</v>
      </c>
      <c r="E29">
        <v>0.122</v>
      </c>
      <c r="F29">
        <v>16</v>
      </c>
      <c r="G29">
        <v>0.84200000000000008</v>
      </c>
      <c r="H29">
        <v>16.149999999999999</v>
      </c>
      <c r="I29">
        <v>0</v>
      </c>
      <c r="J29">
        <v>3.7</v>
      </c>
      <c r="K29">
        <v>701641.97</v>
      </c>
      <c r="L29">
        <v>106111.86</v>
      </c>
      <c r="M29">
        <f t="shared" si="0"/>
        <v>0</v>
      </c>
      <c r="N29">
        <f t="shared" si="1"/>
        <v>0</v>
      </c>
      <c r="O29">
        <f t="shared" si="2"/>
        <v>1</v>
      </c>
      <c r="P29">
        <v>52715.1</v>
      </c>
      <c r="Q29">
        <v>7223</v>
      </c>
    </row>
    <row r="30" spans="1:17">
      <c r="A30" t="s">
        <v>15</v>
      </c>
      <c r="B30" t="s">
        <v>16</v>
      </c>
      <c r="C30">
        <v>68600.62</v>
      </c>
      <c r="D30">
        <v>3988</v>
      </c>
      <c r="E30">
        <v>0.124</v>
      </c>
      <c r="F30">
        <v>11</v>
      </c>
      <c r="G30">
        <v>0.85</v>
      </c>
      <c r="H30">
        <v>0.48</v>
      </c>
      <c r="I30">
        <v>0</v>
      </c>
      <c r="J30">
        <v>3.6</v>
      </c>
      <c r="K30">
        <v>511844.41</v>
      </c>
      <c r="L30">
        <v>72774.44</v>
      </c>
      <c r="M30">
        <f t="shared" si="0"/>
        <v>0</v>
      </c>
      <c r="N30">
        <f t="shared" si="1"/>
        <v>0</v>
      </c>
      <c r="O30">
        <f t="shared" si="2"/>
        <v>0</v>
      </c>
      <c r="P30">
        <v>68600.62</v>
      </c>
      <c r="Q30">
        <v>3988</v>
      </c>
    </row>
    <row r="31" spans="1:17">
      <c r="A31" t="s">
        <v>15</v>
      </c>
      <c r="B31" t="s">
        <v>16</v>
      </c>
      <c r="C31">
        <v>63176.73</v>
      </c>
      <c r="D31">
        <v>2390</v>
      </c>
      <c r="E31">
        <v>0.216</v>
      </c>
      <c r="F31">
        <v>9</v>
      </c>
      <c r="G31">
        <v>0.875</v>
      </c>
      <c r="H31">
        <v>0.31</v>
      </c>
      <c r="I31">
        <v>0</v>
      </c>
      <c r="J31">
        <v>3.1</v>
      </c>
      <c r="K31">
        <v>537383.79</v>
      </c>
      <c r="L31">
        <v>63773.27</v>
      </c>
      <c r="M31">
        <f t="shared" si="0"/>
        <v>0</v>
      </c>
      <c r="N31">
        <f t="shared" si="1"/>
        <v>0</v>
      </c>
      <c r="O31">
        <f t="shared" si="2"/>
        <v>0</v>
      </c>
      <c r="P31">
        <v>63176.73</v>
      </c>
      <c r="Q31">
        <v>2390</v>
      </c>
    </row>
    <row r="32" spans="1:17">
      <c r="A32" t="s">
        <v>15</v>
      </c>
      <c r="B32" t="s">
        <v>16</v>
      </c>
      <c r="C32">
        <v>44970.080000000002</v>
      </c>
      <c r="D32">
        <v>2471</v>
      </c>
      <c r="E32">
        <v>0.13600000000000001</v>
      </c>
      <c r="F32">
        <v>11</v>
      </c>
      <c r="G32">
        <v>0.87599999999999989</v>
      </c>
      <c r="H32">
        <v>3.01</v>
      </c>
      <c r="I32">
        <v>1</v>
      </c>
      <c r="J32">
        <v>3.7</v>
      </c>
      <c r="K32">
        <v>500173.02</v>
      </c>
      <c r="L32">
        <v>70982.05</v>
      </c>
      <c r="M32">
        <f t="shared" si="0"/>
        <v>0</v>
      </c>
      <c r="N32">
        <f t="shared" si="1"/>
        <v>0</v>
      </c>
      <c r="O32">
        <f t="shared" si="2"/>
        <v>0</v>
      </c>
      <c r="P32">
        <v>44970.080000000002</v>
      </c>
      <c r="Q32">
        <v>2471</v>
      </c>
    </row>
    <row r="33" spans="1:17">
      <c r="A33" t="s">
        <v>15</v>
      </c>
      <c r="B33" t="s">
        <v>16</v>
      </c>
      <c r="C33">
        <v>69816.350000000006</v>
      </c>
      <c r="D33">
        <v>971</v>
      </c>
      <c r="E33">
        <v>0.16800000000000001</v>
      </c>
      <c r="F33">
        <v>5</v>
      </c>
      <c r="G33">
        <v>0.89900000000000002</v>
      </c>
      <c r="H33">
        <v>12.15</v>
      </c>
      <c r="I33">
        <v>0</v>
      </c>
      <c r="J33">
        <v>3.6</v>
      </c>
      <c r="K33">
        <v>427917.38</v>
      </c>
      <c r="L33">
        <v>81824.31</v>
      </c>
      <c r="M33">
        <f t="shared" si="0"/>
        <v>0</v>
      </c>
      <c r="N33">
        <f t="shared" si="1"/>
        <v>0</v>
      </c>
      <c r="O33">
        <f t="shared" si="2"/>
        <v>0</v>
      </c>
      <c r="P33">
        <v>69816.350000000006</v>
      </c>
      <c r="Q33">
        <v>971</v>
      </c>
    </row>
    <row r="34" spans="1:17">
      <c r="A34" t="s">
        <v>20</v>
      </c>
      <c r="B34" t="s">
        <v>16</v>
      </c>
      <c r="C34">
        <v>54597.83</v>
      </c>
      <c r="D34">
        <v>9429</v>
      </c>
      <c r="E34">
        <v>0.188</v>
      </c>
      <c r="F34">
        <v>21</v>
      </c>
      <c r="G34">
        <v>0.83299999999999996</v>
      </c>
      <c r="H34">
        <v>11.71</v>
      </c>
      <c r="I34">
        <v>0</v>
      </c>
      <c r="J34">
        <v>4.2</v>
      </c>
      <c r="K34">
        <v>641865.03</v>
      </c>
      <c r="L34">
        <v>81342.58</v>
      </c>
      <c r="M34">
        <f t="shared" si="0"/>
        <v>0</v>
      </c>
      <c r="N34">
        <f t="shared" si="1"/>
        <v>0</v>
      </c>
      <c r="O34">
        <f t="shared" si="2"/>
        <v>0</v>
      </c>
      <c r="P34">
        <v>54597.83</v>
      </c>
      <c r="Q34">
        <v>9429</v>
      </c>
    </row>
    <row r="35" spans="1:17">
      <c r="A35" t="s">
        <v>20</v>
      </c>
      <c r="B35" t="s">
        <v>16</v>
      </c>
      <c r="C35">
        <v>74413.88</v>
      </c>
      <c r="D35">
        <v>9449</v>
      </c>
      <c r="E35">
        <v>3.9E-2</v>
      </c>
      <c r="F35">
        <v>23</v>
      </c>
      <c r="G35">
        <v>0.92099999999999993</v>
      </c>
      <c r="H35">
        <v>2.12</v>
      </c>
      <c r="I35">
        <v>0</v>
      </c>
      <c r="J35">
        <v>3.5</v>
      </c>
      <c r="K35">
        <v>798952.17</v>
      </c>
      <c r="L35">
        <v>161499.04</v>
      </c>
      <c r="M35">
        <f t="shared" si="0"/>
        <v>0</v>
      </c>
      <c r="N35">
        <f t="shared" si="1"/>
        <v>0</v>
      </c>
      <c r="O35">
        <f t="shared" si="2"/>
        <v>0</v>
      </c>
      <c r="P35">
        <v>74413.88</v>
      </c>
      <c r="Q35">
        <v>9449</v>
      </c>
    </row>
    <row r="36" spans="1:17">
      <c r="A36" t="s">
        <v>20</v>
      </c>
      <c r="B36" t="s">
        <v>16</v>
      </c>
      <c r="C36">
        <v>52483.77</v>
      </c>
      <c r="D36">
        <v>10453</v>
      </c>
      <c r="E36">
        <v>0.247</v>
      </c>
      <c r="F36">
        <v>25</v>
      </c>
      <c r="G36">
        <v>0.99</v>
      </c>
      <c r="H36">
        <v>6.31</v>
      </c>
      <c r="I36">
        <v>0</v>
      </c>
      <c r="J36">
        <v>3.6</v>
      </c>
      <c r="K36">
        <v>800979.78</v>
      </c>
      <c r="L36">
        <v>149242.26999999999</v>
      </c>
      <c r="M36">
        <f t="shared" si="0"/>
        <v>0</v>
      </c>
      <c r="N36">
        <f t="shared" si="1"/>
        <v>0</v>
      </c>
      <c r="O36">
        <f t="shared" si="2"/>
        <v>0</v>
      </c>
      <c r="P36">
        <v>52483.77</v>
      </c>
      <c r="Q36">
        <v>10453</v>
      </c>
    </row>
    <row r="37" spans="1:17">
      <c r="A37" t="s">
        <v>20</v>
      </c>
      <c r="B37" t="s">
        <v>28</v>
      </c>
      <c r="C37">
        <v>75269.87</v>
      </c>
      <c r="D37">
        <v>8838</v>
      </c>
      <c r="E37">
        <v>9.1999999999999998E-2</v>
      </c>
      <c r="F37">
        <v>21</v>
      </c>
      <c r="G37">
        <v>0.83099999999999996</v>
      </c>
      <c r="H37">
        <v>9.56</v>
      </c>
      <c r="I37">
        <v>1</v>
      </c>
      <c r="J37">
        <v>4.2</v>
      </c>
      <c r="K37">
        <v>820593.93</v>
      </c>
      <c r="L37">
        <v>115860.06</v>
      </c>
      <c r="M37">
        <f t="shared" si="0"/>
        <v>0</v>
      </c>
      <c r="N37">
        <f t="shared" si="1"/>
        <v>0</v>
      </c>
      <c r="O37">
        <f t="shared" si="2"/>
        <v>1</v>
      </c>
      <c r="P37">
        <v>75269.87</v>
      </c>
      <c r="Q37">
        <v>8838</v>
      </c>
    </row>
    <row r="38" spans="1:17">
      <c r="A38" t="s">
        <v>20</v>
      </c>
      <c r="B38" t="s">
        <v>28</v>
      </c>
      <c r="C38">
        <v>61245.41</v>
      </c>
      <c r="D38">
        <v>8156</v>
      </c>
      <c r="E38">
        <v>0.156</v>
      </c>
      <c r="F38">
        <v>19</v>
      </c>
      <c r="G38">
        <v>0.92900000000000005</v>
      </c>
      <c r="H38">
        <v>9.0500000000000007</v>
      </c>
      <c r="I38">
        <v>0</v>
      </c>
      <c r="J38">
        <v>3.8</v>
      </c>
      <c r="K38">
        <v>718330.53</v>
      </c>
      <c r="L38">
        <v>93247.9</v>
      </c>
      <c r="M38">
        <f t="shared" si="0"/>
        <v>0</v>
      </c>
      <c r="N38">
        <f t="shared" si="1"/>
        <v>0</v>
      </c>
      <c r="O38">
        <f t="shared" si="2"/>
        <v>1</v>
      </c>
      <c r="P38">
        <v>61245.41</v>
      </c>
      <c r="Q38">
        <v>8156</v>
      </c>
    </row>
    <row r="39" spans="1:17">
      <c r="A39" t="s">
        <v>20</v>
      </c>
      <c r="B39" t="s">
        <v>28</v>
      </c>
      <c r="C39">
        <v>93381.26</v>
      </c>
      <c r="D39">
        <v>7562</v>
      </c>
      <c r="E39">
        <v>0.19800000000000001</v>
      </c>
      <c r="F39">
        <v>19</v>
      </c>
      <c r="G39">
        <v>0.82900000000000007</v>
      </c>
      <c r="H39">
        <v>5.05</v>
      </c>
      <c r="I39">
        <v>0</v>
      </c>
      <c r="J39">
        <v>4</v>
      </c>
      <c r="K39">
        <v>736633.4</v>
      </c>
      <c r="L39">
        <v>115654.66</v>
      </c>
      <c r="M39">
        <f t="shared" si="0"/>
        <v>0</v>
      </c>
      <c r="N39">
        <f t="shared" si="1"/>
        <v>0</v>
      </c>
      <c r="O39">
        <f t="shared" si="2"/>
        <v>1</v>
      </c>
      <c r="P39">
        <v>93381.26</v>
      </c>
      <c r="Q39">
        <v>7562</v>
      </c>
    </row>
    <row r="40" spans="1:17">
      <c r="A40" t="s">
        <v>20</v>
      </c>
      <c r="B40" t="s">
        <v>28</v>
      </c>
      <c r="C40">
        <v>65012.19</v>
      </c>
      <c r="D40">
        <v>9598</v>
      </c>
      <c r="E40">
        <v>8.5000000000000006E-2</v>
      </c>
      <c r="F40">
        <v>24</v>
      </c>
      <c r="G40">
        <v>0.98299999999999998</v>
      </c>
      <c r="H40">
        <v>0.89</v>
      </c>
      <c r="I40">
        <v>0</v>
      </c>
      <c r="J40">
        <v>3.8</v>
      </c>
      <c r="K40">
        <v>828623.85</v>
      </c>
      <c r="L40">
        <v>167320.51999999999</v>
      </c>
      <c r="M40">
        <f t="shared" si="0"/>
        <v>0</v>
      </c>
      <c r="N40">
        <f t="shared" si="1"/>
        <v>0</v>
      </c>
      <c r="O40">
        <f t="shared" si="2"/>
        <v>1</v>
      </c>
      <c r="P40">
        <v>65012.19</v>
      </c>
      <c r="Q40">
        <v>9598</v>
      </c>
    </row>
    <row r="41" spans="1:17">
      <c r="A41" t="s">
        <v>15</v>
      </c>
      <c r="B41" t="s">
        <v>28</v>
      </c>
      <c r="C41">
        <v>40462.94</v>
      </c>
      <c r="D41">
        <v>3660</v>
      </c>
      <c r="E41">
        <v>0.218</v>
      </c>
      <c r="F41">
        <v>11</v>
      </c>
      <c r="G41">
        <v>0.95200000000000007</v>
      </c>
      <c r="H41">
        <v>5.57</v>
      </c>
      <c r="I41">
        <v>0</v>
      </c>
      <c r="J41">
        <v>4.4000000000000004</v>
      </c>
      <c r="K41">
        <v>592195.85</v>
      </c>
      <c r="L41">
        <v>92291.56</v>
      </c>
      <c r="M41">
        <f t="shared" si="0"/>
        <v>0</v>
      </c>
      <c r="N41">
        <f t="shared" si="1"/>
        <v>0</v>
      </c>
      <c r="O41">
        <f t="shared" si="2"/>
        <v>1</v>
      </c>
      <c r="P41">
        <v>40462.94</v>
      </c>
      <c r="Q41">
        <v>3660</v>
      </c>
    </row>
    <row r="42" spans="1:17">
      <c r="A42" t="s">
        <v>15</v>
      </c>
      <c r="B42" t="s">
        <v>28</v>
      </c>
      <c r="C42">
        <v>46123.88</v>
      </c>
      <c r="D42">
        <v>3227</v>
      </c>
      <c r="E42">
        <v>0.14299999999999999</v>
      </c>
      <c r="F42">
        <v>10</v>
      </c>
      <c r="G42">
        <v>0.754</v>
      </c>
      <c r="H42">
        <v>1.06</v>
      </c>
      <c r="I42">
        <v>0</v>
      </c>
      <c r="J42">
        <v>4.4000000000000004</v>
      </c>
      <c r="K42">
        <v>532644.46</v>
      </c>
      <c r="L42">
        <v>60681.32</v>
      </c>
      <c r="M42">
        <f t="shared" si="0"/>
        <v>0</v>
      </c>
      <c r="N42">
        <f t="shared" si="1"/>
        <v>0</v>
      </c>
      <c r="O42">
        <f t="shared" si="2"/>
        <v>1</v>
      </c>
      <c r="P42">
        <v>46123.88</v>
      </c>
      <c r="Q42">
        <v>3227</v>
      </c>
    </row>
    <row r="43" spans="1:17">
      <c r="A43" t="s">
        <v>15</v>
      </c>
      <c r="B43" t="s">
        <v>28</v>
      </c>
      <c r="C43">
        <v>68077.539999999994</v>
      </c>
      <c r="D43">
        <v>3360</v>
      </c>
      <c r="E43">
        <v>0.128</v>
      </c>
      <c r="F43">
        <v>14</v>
      </c>
      <c r="G43">
        <v>0.88200000000000001</v>
      </c>
      <c r="H43">
        <v>1.24</v>
      </c>
      <c r="I43">
        <v>1</v>
      </c>
      <c r="J43">
        <v>4</v>
      </c>
      <c r="K43">
        <v>657429.18000000005</v>
      </c>
      <c r="L43">
        <v>88919.74</v>
      </c>
      <c r="M43">
        <f t="shared" si="0"/>
        <v>0</v>
      </c>
      <c r="N43">
        <f t="shared" si="1"/>
        <v>0</v>
      </c>
      <c r="O43">
        <f t="shared" si="2"/>
        <v>1</v>
      </c>
      <c r="P43">
        <v>68077.539999999994</v>
      </c>
      <c r="Q43">
        <v>3360</v>
      </c>
    </row>
    <row r="44" spans="1:17">
      <c r="A44" t="s">
        <v>15</v>
      </c>
      <c r="B44" t="s">
        <v>28</v>
      </c>
      <c r="C44">
        <v>64882.14</v>
      </c>
      <c r="D44">
        <v>3642</v>
      </c>
      <c r="E44">
        <v>1.9E-2</v>
      </c>
      <c r="F44">
        <v>13</v>
      </c>
      <c r="G44">
        <v>0.878</v>
      </c>
      <c r="H44">
        <v>4.5199999999999996</v>
      </c>
      <c r="I44">
        <v>0</v>
      </c>
      <c r="J44">
        <v>4.2</v>
      </c>
      <c r="K44">
        <v>605178</v>
      </c>
      <c r="L44">
        <v>106958.74</v>
      </c>
      <c r="M44">
        <f t="shared" si="0"/>
        <v>0</v>
      </c>
      <c r="N44">
        <f t="shared" si="1"/>
        <v>0</v>
      </c>
      <c r="O44">
        <f t="shared" si="2"/>
        <v>1</v>
      </c>
      <c r="P44">
        <v>64882.14</v>
      </c>
      <c r="Q44">
        <v>3642</v>
      </c>
    </row>
    <row r="45" spans="1:17">
      <c r="A45" t="s">
        <v>27</v>
      </c>
      <c r="B45" t="s">
        <v>16</v>
      </c>
      <c r="C45">
        <v>138855.51</v>
      </c>
      <c r="D45">
        <v>5145</v>
      </c>
      <c r="E45">
        <v>0.06</v>
      </c>
      <c r="F45">
        <v>17</v>
      </c>
      <c r="G45">
        <v>0.88200000000000001</v>
      </c>
      <c r="H45">
        <v>9.58</v>
      </c>
      <c r="I45">
        <v>0</v>
      </c>
      <c r="J45">
        <v>3.2</v>
      </c>
      <c r="K45">
        <v>595467.6</v>
      </c>
      <c r="L45">
        <v>104276.46</v>
      </c>
      <c r="M45">
        <f t="shared" si="0"/>
        <v>0</v>
      </c>
      <c r="N45">
        <f t="shared" si="1"/>
        <v>0</v>
      </c>
      <c r="O45">
        <f t="shared" si="2"/>
        <v>0</v>
      </c>
      <c r="P45">
        <v>138855.51</v>
      </c>
      <c r="Q45">
        <v>5145</v>
      </c>
    </row>
    <row r="46" spans="1:17">
      <c r="A46" t="s">
        <v>27</v>
      </c>
      <c r="B46" t="s">
        <v>16</v>
      </c>
      <c r="C46">
        <v>63630.21</v>
      </c>
      <c r="D46">
        <v>4460</v>
      </c>
      <c r="E46">
        <v>0.23499999999999999</v>
      </c>
      <c r="F46">
        <v>14</v>
      </c>
      <c r="G46">
        <v>0.98599999999999999</v>
      </c>
      <c r="H46">
        <v>5.52</v>
      </c>
      <c r="I46">
        <v>0</v>
      </c>
      <c r="J46">
        <v>3.5</v>
      </c>
      <c r="K46">
        <v>599603.4</v>
      </c>
      <c r="L46">
        <v>112685.12</v>
      </c>
      <c r="M46">
        <f t="shared" si="0"/>
        <v>0</v>
      </c>
      <c r="N46">
        <f t="shared" si="1"/>
        <v>0</v>
      </c>
      <c r="O46">
        <f t="shared" si="2"/>
        <v>0</v>
      </c>
      <c r="P46">
        <v>63630.21</v>
      </c>
      <c r="Q46">
        <v>4460</v>
      </c>
    </row>
    <row r="47" spans="1:17">
      <c r="A47" t="s">
        <v>27</v>
      </c>
      <c r="B47" t="s">
        <v>16</v>
      </c>
      <c r="C47">
        <v>50043.65</v>
      </c>
      <c r="D47">
        <v>3804</v>
      </c>
      <c r="E47">
        <v>0.113</v>
      </c>
      <c r="F47">
        <v>11</v>
      </c>
      <c r="G47">
        <v>0.90900000000000003</v>
      </c>
      <c r="H47">
        <v>2.7</v>
      </c>
      <c r="I47">
        <v>1</v>
      </c>
      <c r="J47">
        <v>3.2</v>
      </c>
      <c r="K47">
        <v>614800.09</v>
      </c>
      <c r="L47">
        <v>100044.2</v>
      </c>
      <c r="M47">
        <f t="shared" si="0"/>
        <v>0</v>
      </c>
      <c r="N47">
        <f t="shared" si="1"/>
        <v>0</v>
      </c>
      <c r="O47">
        <f t="shared" si="2"/>
        <v>0</v>
      </c>
      <c r="P47">
        <v>50043.65</v>
      </c>
      <c r="Q47">
        <v>3804</v>
      </c>
    </row>
    <row r="48" spans="1:17">
      <c r="A48" t="s">
        <v>27</v>
      </c>
      <c r="B48" t="s">
        <v>16</v>
      </c>
      <c r="C48">
        <v>42093.84</v>
      </c>
      <c r="D48">
        <v>4074</v>
      </c>
      <c r="E48">
        <v>0.155</v>
      </c>
      <c r="F48">
        <v>15</v>
      </c>
      <c r="G48">
        <v>0.88</v>
      </c>
      <c r="H48">
        <v>9.64</v>
      </c>
      <c r="I48">
        <v>0</v>
      </c>
      <c r="J48">
        <v>3.3</v>
      </c>
      <c r="K48">
        <v>585365.73</v>
      </c>
      <c r="L48">
        <v>81011.520000000004</v>
      </c>
      <c r="M48">
        <f t="shared" si="0"/>
        <v>0</v>
      </c>
      <c r="N48">
        <f t="shared" si="1"/>
        <v>0</v>
      </c>
      <c r="O48">
        <f t="shared" si="2"/>
        <v>0</v>
      </c>
      <c r="P48">
        <v>42093.84</v>
      </c>
      <c r="Q48">
        <v>4074</v>
      </c>
    </row>
    <row r="49" spans="1:17">
      <c r="A49" t="s">
        <v>20</v>
      </c>
      <c r="B49" t="s">
        <v>28</v>
      </c>
      <c r="C49">
        <v>46624.05</v>
      </c>
      <c r="D49">
        <v>5104</v>
      </c>
      <c r="E49">
        <v>0.109</v>
      </c>
      <c r="F49">
        <v>11</v>
      </c>
      <c r="G49">
        <v>0.97299999999999998</v>
      </c>
      <c r="H49">
        <v>3.49</v>
      </c>
      <c r="I49">
        <v>1</v>
      </c>
      <c r="J49">
        <v>4.7</v>
      </c>
      <c r="K49">
        <v>622811.74</v>
      </c>
      <c r="L49">
        <v>109978.35</v>
      </c>
      <c r="M49">
        <f t="shared" si="0"/>
        <v>0</v>
      </c>
      <c r="N49">
        <f t="shared" si="1"/>
        <v>0</v>
      </c>
      <c r="O49">
        <f t="shared" si="2"/>
        <v>1</v>
      </c>
      <c r="P49">
        <v>46624.05</v>
      </c>
      <c r="Q49">
        <v>5104</v>
      </c>
    </row>
    <row r="50" spans="1:17">
      <c r="A50" t="s">
        <v>20</v>
      </c>
      <c r="B50" t="s">
        <v>28</v>
      </c>
      <c r="C50">
        <v>49710.29</v>
      </c>
      <c r="D50">
        <v>5559</v>
      </c>
      <c r="E50">
        <v>0.218</v>
      </c>
      <c r="F50">
        <v>14</v>
      </c>
      <c r="G50">
        <v>0.71</v>
      </c>
      <c r="H50">
        <v>9.11</v>
      </c>
      <c r="I50">
        <v>0</v>
      </c>
      <c r="J50">
        <v>4.5999999999999996</v>
      </c>
      <c r="K50">
        <v>603297.56999999995</v>
      </c>
      <c r="L50">
        <v>60592.26</v>
      </c>
      <c r="M50">
        <f t="shared" si="0"/>
        <v>0</v>
      </c>
      <c r="N50">
        <f t="shared" si="1"/>
        <v>0</v>
      </c>
      <c r="O50">
        <f t="shared" si="2"/>
        <v>1</v>
      </c>
      <c r="P50">
        <v>49710.29</v>
      </c>
      <c r="Q50">
        <v>5559</v>
      </c>
    </row>
    <row r="51" spans="1:17">
      <c r="A51" t="s">
        <v>20</v>
      </c>
      <c r="B51" t="s">
        <v>28</v>
      </c>
      <c r="C51">
        <v>48287.85</v>
      </c>
      <c r="D51">
        <v>5150</v>
      </c>
      <c r="E51">
        <v>8.0000000000000002E-3</v>
      </c>
      <c r="F51">
        <v>12</v>
      </c>
      <c r="G51">
        <v>0.80400000000000005</v>
      </c>
      <c r="H51">
        <v>7.4</v>
      </c>
      <c r="I51">
        <v>0</v>
      </c>
      <c r="J51">
        <v>4.5</v>
      </c>
      <c r="K51">
        <v>625672.86</v>
      </c>
      <c r="L51">
        <v>118020.12</v>
      </c>
      <c r="M51">
        <f t="shared" si="0"/>
        <v>0</v>
      </c>
      <c r="N51">
        <f t="shared" si="1"/>
        <v>0</v>
      </c>
      <c r="O51">
        <f t="shared" si="2"/>
        <v>1</v>
      </c>
      <c r="P51">
        <v>48287.85</v>
      </c>
      <c r="Q51">
        <v>5150</v>
      </c>
    </row>
    <row r="52" spans="1:17">
      <c r="A52" t="s">
        <v>20</v>
      </c>
      <c r="B52" t="s">
        <v>28</v>
      </c>
      <c r="C52">
        <v>65312.49</v>
      </c>
      <c r="D52">
        <v>7189</v>
      </c>
      <c r="E52">
        <v>0.05</v>
      </c>
      <c r="F52">
        <v>19</v>
      </c>
      <c r="G52">
        <v>0.93700000000000006</v>
      </c>
      <c r="H52">
        <v>7.16</v>
      </c>
      <c r="I52">
        <v>0</v>
      </c>
      <c r="J52">
        <v>4.5999999999999996</v>
      </c>
      <c r="K52">
        <v>773815.14</v>
      </c>
      <c r="L52">
        <v>133948.39000000001</v>
      </c>
      <c r="M52">
        <f t="shared" si="0"/>
        <v>0</v>
      </c>
      <c r="N52">
        <f t="shared" si="1"/>
        <v>0</v>
      </c>
      <c r="O52">
        <f t="shared" si="2"/>
        <v>1</v>
      </c>
      <c r="P52">
        <v>65312.49</v>
      </c>
      <c r="Q52">
        <v>7189</v>
      </c>
    </row>
    <row r="53" spans="1:17">
      <c r="A53" t="s">
        <v>27</v>
      </c>
      <c r="B53" t="s">
        <v>18</v>
      </c>
      <c r="C53">
        <v>53015.46</v>
      </c>
      <c r="D53">
        <v>3279</v>
      </c>
      <c r="E53">
        <v>8.6999999999999994E-2</v>
      </c>
      <c r="F53">
        <v>9</v>
      </c>
      <c r="G53">
        <v>0.84299999999999997</v>
      </c>
      <c r="H53">
        <v>22.02</v>
      </c>
      <c r="I53">
        <v>0</v>
      </c>
      <c r="J53">
        <v>3.9</v>
      </c>
      <c r="K53">
        <v>463534.25</v>
      </c>
      <c r="L53">
        <v>81834.539999999994</v>
      </c>
      <c r="M53">
        <f t="shared" si="0"/>
        <v>1</v>
      </c>
      <c r="N53">
        <f t="shared" si="1"/>
        <v>0</v>
      </c>
      <c r="O53">
        <f t="shared" si="2"/>
        <v>0</v>
      </c>
      <c r="P53">
        <v>53015.46</v>
      </c>
      <c r="Q53">
        <v>3279</v>
      </c>
    </row>
    <row r="54" spans="1:17">
      <c r="A54" t="s">
        <v>27</v>
      </c>
      <c r="B54" t="s">
        <v>18</v>
      </c>
      <c r="C54">
        <v>99874.01</v>
      </c>
      <c r="D54">
        <v>5887</v>
      </c>
      <c r="E54">
        <v>0.26200000000000001</v>
      </c>
      <c r="F54">
        <v>14</v>
      </c>
      <c r="G54">
        <v>0.88700000000000001</v>
      </c>
      <c r="H54">
        <v>6.18</v>
      </c>
      <c r="I54">
        <v>0</v>
      </c>
      <c r="J54">
        <v>4.7</v>
      </c>
      <c r="K54">
        <v>746677.75</v>
      </c>
      <c r="L54">
        <v>122437.84</v>
      </c>
      <c r="M54">
        <f t="shared" si="0"/>
        <v>1</v>
      </c>
      <c r="N54">
        <f t="shared" si="1"/>
        <v>0</v>
      </c>
      <c r="O54">
        <f t="shared" si="2"/>
        <v>0</v>
      </c>
      <c r="P54">
        <v>99874.01</v>
      </c>
      <c r="Q54">
        <v>5887</v>
      </c>
    </row>
    <row r="55" spans="1:17">
      <c r="A55" t="s">
        <v>27</v>
      </c>
      <c r="B55" t="s">
        <v>18</v>
      </c>
      <c r="C55">
        <v>81195.5</v>
      </c>
      <c r="D55">
        <v>5516</v>
      </c>
      <c r="E55">
        <v>0.106</v>
      </c>
      <c r="F55">
        <v>14</v>
      </c>
      <c r="G55">
        <v>0.88</v>
      </c>
      <c r="H55">
        <v>1.76</v>
      </c>
      <c r="I55">
        <v>0</v>
      </c>
      <c r="J55">
        <v>4.3</v>
      </c>
      <c r="K55">
        <v>720852.5</v>
      </c>
      <c r="L55">
        <v>98565.62</v>
      </c>
      <c r="M55">
        <f t="shared" si="0"/>
        <v>1</v>
      </c>
      <c r="N55">
        <f t="shared" si="1"/>
        <v>0</v>
      </c>
      <c r="O55">
        <f t="shared" si="2"/>
        <v>0</v>
      </c>
      <c r="P55">
        <v>81195.5</v>
      </c>
      <c r="Q55">
        <v>5516</v>
      </c>
    </row>
    <row r="56" spans="1:17">
      <c r="A56" t="s">
        <v>27</v>
      </c>
      <c r="B56" t="s">
        <v>18</v>
      </c>
      <c r="C56">
        <v>27808.6</v>
      </c>
      <c r="D56">
        <v>2863</v>
      </c>
      <c r="E56">
        <v>0.08</v>
      </c>
      <c r="F56">
        <v>13</v>
      </c>
      <c r="G56">
        <v>0.89300000000000002</v>
      </c>
      <c r="H56">
        <v>0.47</v>
      </c>
      <c r="I56">
        <v>0</v>
      </c>
      <c r="J56">
        <v>4.0999999999999996</v>
      </c>
      <c r="K56">
        <v>487464.91</v>
      </c>
      <c r="L56">
        <v>64562.26</v>
      </c>
      <c r="M56">
        <f t="shared" si="0"/>
        <v>1</v>
      </c>
      <c r="N56">
        <f t="shared" si="1"/>
        <v>0</v>
      </c>
      <c r="O56">
        <f t="shared" si="2"/>
        <v>0</v>
      </c>
      <c r="P56">
        <v>27808.6</v>
      </c>
      <c r="Q56">
        <v>2863</v>
      </c>
    </row>
    <row r="57" spans="1:17">
      <c r="A57" t="s">
        <v>15</v>
      </c>
      <c r="B57" t="s">
        <v>21</v>
      </c>
      <c r="C57">
        <v>19365.060000000001</v>
      </c>
      <c r="D57">
        <v>2378</v>
      </c>
      <c r="E57">
        <v>0</v>
      </c>
      <c r="F57">
        <v>12</v>
      </c>
      <c r="G57">
        <v>0.94799999999999995</v>
      </c>
      <c r="H57">
        <v>0.2</v>
      </c>
      <c r="I57">
        <v>0</v>
      </c>
      <c r="J57">
        <v>3.5</v>
      </c>
      <c r="K57">
        <v>518049.26</v>
      </c>
      <c r="L57">
        <v>108592.49</v>
      </c>
      <c r="M57">
        <f t="shared" si="0"/>
        <v>0</v>
      </c>
      <c r="N57">
        <f t="shared" si="1"/>
        <v>1</v>
      </c>
      <c r="O57">
        <f t="shared" si="2"/>
        <v>0</v>
      </c>
      <c r="P57">
        <v>19365.060000000001</v>
      </c>
      <c r="Q57">
        <v>2378</v>
      </c>
    </row>
    <row r="58" spans="1:17">
      <c r="A58" t="s">
        <v>15</v>
      </c>
      <c r="B58" t="s">
        <v>21</v>
      </c>
      <c r="C58">
        <v>59405.68</v>
      </c>
      <c r="D58">
        <v>2515</v>
      </c>
      <c r="E58">
        <v>3.9E-2</v>
      </c>
      <c r="F58">
        <v>12</v>
      </c>
      <c r="G58">
        <v>0.76</v>
      </c>
      <c r="H58">
        <v>5.1100000000000003</v>
      </c>
      <c r="I58">
        <v>0</v>
      </c>
      <c r="J58">
        <v>3.7</v>
      </c>
      <c r="K58">
        <v>500298.48</v>
      </c>
      <c r="L58">
        <v>73461.320000000007</v>
      </c>
      <c r="M58">
        <f t="shared" si="0"/>
        <v>0</v>
      </c>
      <c r="N58">
        <f t="shared" si="1"/>
        <v>1</v>
      </c>
      <c r="O58">
        <f t="shared" si="2"/>
        <v>0</v>
      </c>
      <c r="P58">
        <v>59405.68</v>
      </c>
      <c r="Q58">
        <v>2515</v>
      </c>
    </row>
    <row r="59" spans="1:17">
      <c r="A59" t="s">
        <v>15</v>
      </c>
      <c r="B59" t="s">
        <v>21</v>
      </c>
      <c r="C59">
        <v>118910.48</v>
      </c>
      <c r="D59">
        <v>4022</v>
      </c>
      <c r="E59">
        <v>0.13700000000000001</v>
      </c>
      <c r="F59">
        <v>11</v>
      </c>
      <c r="G59">
        <v>0.871</v>
      </c>
      <c r="H59">
        <v>0.2</v>
      </c>
      <c r="I59">
        <v>0</v>
      </c>
      <c r="J59">
        <v>3.1</v>
      </c>
      <c r="K59">
        <v>617291.15</v>
      </c>
      <c r="L59">
        <v>117782</v>
      </c>
      <c r="M59">
        <f t="shared" si="0"/>
        <v>0</v>
      </c>
      <c r="N59">
        <f t="shared" si="1"/>
        <v>1</v>
      </c>
      <c r="O59">
        <f t="shared" si="2"/>
        <v>0</v>
      </c>
      <c r="P59">
        <v>118910.48</v>
      </c>
      <c r="Q59">
        <v>4022</v>
      </c>
    </row>
    <row r="60" spans="1:17">
      <c r="A60" t="s">
        <v>15</v>
      </c>
      <c r="B60" t="s">
        <v>21</v>
      </c>
      <c r="C60">
        <v>52952.12</v>
      </c>
      <c r="D60">
        <v>4377</v>
      </c>
      <c r="E60">
        <v>9.1999999999999998E-2</v>
      </c>
      <c r="F60">
        <v>14</v>
      </c>
      <c r="G60">
        <v>0.8859999999999999</v>
      </c>
      <c r="H60">
        <v>13.59</v>
      </c>
      <c r="I60">
        <v>0</v>
      </c>
      <c r="J60">
        <v>3.1</v>
      </c>
      <c r="K60">
        <v>553756.43000000005</v>
      </c>
      <c r="L60">
        <v>86166.77</v>
      </c>
      <c r="M60">
        <f t="shared" si="0"/>
        <v>0</v>
      </c>
      <c r="N60">
        <f t="shared" si="1"/>
        <v>1</v>
      </c>
      <c r="O60">
        <f t="shared" si="2"/>
        <v>0</v>
      </c>
      <c r="P60">
        <v>52952.12</v>
      </c>
      <c r="Q60">
        <v>4377</v>
      </c>
    </row>
    <row r="61" spans="1:17">
      <c r="A61" t="s">
        <v>24</v>
      </c>
      <c r="B61" t="s">
        <v>18</v>
      </c>
      <c r="C61">
        <v>74907.98</v>
      </c>
      <c r="D61">
        <v>5306</v>
      </c>
      <c r="E61">
        <v>6.2E-2</v>
      </c>
      <c r="F61">
        <v>16</v>
      </c>
      <c r="G61">
        <v>0.95599999999999996</v>
      </c>
      <c r="H61">
        <v>1.02</v>
      </c>
      <c r="I61">
        <v>0</v>
      </c>
      <c r="J61">
        <v>3.7</v>
      </c>
      <c r="K61">
        <v>749559.71</v>
      </c>
      <c r="L61">
        <v>144522.53</v>
      </c>
      <c r="M61">
        <f t="shared" si="0"/>
        <v>1</v>
      </c>
      <c r="N61">
        <f t="shared" si="1"/>
        <v>0</v>
      </c>
      <c r="O61">
        <f t="shared" si="2"/>
        <v>0</v>
      </c>
      <c r="P61">
        <v>74907.98</v>
      </c>
      <c r="Q61">
        <v>5306</v>
      </c>
    </row>
    <row r="62" spans="1:17">
      <c r="A62" t="s">
        <v>24</v>
      </c>
      <c r="B62" t="s">
        <v>18</v>
      </c>
      <c r="C62">
        <v>37284.660000000003</v>
      </c>
      <c r="D62">
        <v>3928</v>
      </c>
      <c r="E62">
        <v>7.3999999999999996E-2</v>
      </c>
      <c r="F62">
        <v>12</v>
      </c>
      <c r="G62">
        <v>0.86499999999999999</v>
      </c>
      <c r="H62">
        <v>1.64</v>
      </c>
      <c r="I62">
        <v>0</v>
      </c>
      <c r="J62">
        <v>3.8</v>
      </c>
      <c r="K62">
        <v>615966.48</v>
      </c>
      <c r="L62">
        <v>91509.38</v>
      </c>
      <c r="M62">
        <f t="shared" si="0"/>
        <v>1</v>
      </c>
      <c r="N62">
        <f t="shared" si="1"/>
        <v>0</v>
      </c>
      <c r="O62">
        <f t="shared" si="2"/>
        <v>0</v>
      </c>
      <c r="P62">
        <v>37284.660000000003</v>
      </c>
      <c r="Q62">
        <v>3928</v>
      </c>
    </row>
    <row r="63" spans="1:17">
      <c r="A63" t="s">
        <v>24</v>
      </c>
      <c r="B63" t="s">
        <v>18</v>
      </c>
      <c r="C63">
        <v>50343.19</v>
      </c>
      <c r="D63">
        <v>3845</v>
      </c>
      <c r="E63">
        <v>0.113</v>
      </c>
      <c r="F63">
        <v>9</v>
      </c>
      <c r="G63">
        <v>0.88700000000000001</v>
      </c>
      <c r="H63">
        <v>5.15</v>
      </c>
      <c r="I63">
        <v>0</v>
      </c>
      <c r="J63">
        <v>3.3</v>
      </c>
      <c r="K63">
        <v>572011.19999999995</v>
      </c>
      <c r="L63">
        <v>101409.68</v>
      </c>
      <c r="M63">
        <f t="shared" si="0"/>
        <v>1</v>
      </c>
      <c r="N63">
        <f t="shared" si="1"/>
        <v>0</v>
      </c>
      <c r="O63">
        <f t="shared" si="2"/>
        <v>0</v>
      </c>
      <c r="P63">
        <v>50343.19</v>
      </c>
      <c r="Q63">
        <v>3845</v>
      </c>
    </row>
    <row r="64" spans="1:17">
      <c r="A64" t="s">
        <v>24</v>
      </c>
      <c r="B64" t="s">
        <v>18</v>
      </c>
      <c r="C64">
        <v>74954.47</v>
      </c>
      <c r="D64">
        <v>6620</v>
      </c>
      <c r="E64">
        <v>5.3999999999999999E-2</v>
      </c>
      <c r="F64">
        <v>17</v>
      </c>
      <c r="G64">
        <v>0.91099999999999992</v>
      </c>
      <c r="H64">
        <v>1.1100000000000001</v>
      </c>
      <c r="I64">
        <v>0</v>
      </c>
      <c r="J64">
        <v>3.5</v>
      </c>
      <c r="K64">
        <v>761860.19</v>
      </c>
      <c r="L64">
        <v>133279.38</v>
      </c>
      <c r="M64">
        <f t="shared" si="0"/>
        <v>1</v>
      </c>
      <c r="N64">
        <f t="shared" si="1"/>
        <v>0</v>
      </c>
      <c r="O64">
        <f t="shared" si="2"/>
        <v>0</v>
      </c>
      <c r="P64">
        <v>74954.47</v>
      </c>
      <c r="Q64">
        <v>6620</v>
      </c>
    </row>
    <row r="65" spans="1:17">
      <c r="A65" t="s">
        <v>27</v>
      </c>
      <c r="B65" t="s">
        <v>18</v>
      </c>
      <c r="C65">
        <v>70040.31</v>
      </c>
      <c r="D65">
        <v>9175</v>
      </c>
      <c r="E65">
        <v>0.107</v>
      </c>
      <c r="F65">
        <v>23</v>
      </c>
      <c r="G65">
        <v>0.95099999999999996</v>
      </c>
      <c r="H65">
        <v>6.08</v>
      </c>
      <c r="I65">
        <v>1</v>
      </c>
      <c r="J65">
        <v>3.4</v>
      </c>
      <c r="K65">
        <v>784502.68</v>
      </c>
      <c r="L65">
        <v>129519.72</v>
      </c>
      <c r="M65">
        <f t="shared" si="0"/>
        <v>1</v>
      </c>
      <c r="N65">
        <f t="shared" si="1"/>
        <v>0</v>
      </c>
      <c r="O65">
        <f t="shared" si="2"/>
        <v>0</v>
      </c>
      <c r="P65">
        <v>70040.31</v>
      </c>
      <c r="Q65">
        <v>9175</v>
      </c>
    </row>
    <row r="66" spans="1:17">
      <c r="A66" t="s">
        <v>27</v>
      </c>
      <c r="B66" t="s">
        <v>18</v>
      </c>
      <c r="C66">
        <v>51148.69</v>
      </c>
      <c r="D66">
        <v>7940</v>
      </c>
      <c r="E66">
        <v>0.156</v>
      </c>
      <c r="F66">
        <v>18</v>
      </c>
      <c r="G66">
        <v>0.93299999999999994</v>
      </c>
      <c r="H66">
        <v>10.91</v>
      </c>
      <c r="I66">
        <v>0</v>
      </c>
      <c r="J66">
        <v>3.6</v>
      </c>
      <c r="K66">
        <v>717141.55</v>
      </c>
      <c r="L66">
        <v>134013.60999999999</v>
      </c>
      <c r="M66">
        <f t="shared" si="0"/>
        <v>1</v>
      </c>
      <c r="N66">
        <f t="shared" si="1"/>
        <v>0</v>
      </c>
      <c r="O66">
        <f t="shared" si="2"/>
        <v>0</v>
      </c>
      <c r="P66">
        <v>51148.69</v>
      </c>
      <c r="Q66">
        <v>7940</v>
      </c>
    </row>
    <row r="67" spans="1:17">
      <c r="A67" t="s">
        <v>27</v>
      </c>
      <c r="B67" t="s">
        <v>18</v>
      </c>
      <c r="C67">
        <v>79346.100000000006</v>
      </c>
      <c r="D67">
        <v>9628</v>
      </c>
      <c r="E67">
        <v>0.10199999999999999</v>
      </c>
      <c r="F67">
        <v>20</v>
      </c>
      <c r="G67">
        <v>0.99</v>
      </c>
      <c r="H67">
        <v>19.010000000000002</v>
      </c>
      <c r="I67">
        <v>1</v>
      </c>
      <c r="J67">
        <v>3.2</v>
      </c>
      <c r="K67">
        <v>685379.08</v>
      </c>
      <c r="L67">
        <v>106898.82</v>
      </c>
      <c r="M67">
        <f t="shared" ref="M67:M130" si="3">IF(B67="High Street", 1, 0)</f>
        <v>1</v>
      </c>
      <c r="N67">
        <f t="shared" ref="N67:N130" si="4">IF(B67="Airport", 1, 0)</f>
        <v>0</v>
      </c>
      <c r="O67">
        <f t="shared" ref="O67:O130" si="5">IF(B67="Mall", 1, 0)</f>
        <v>0</v>
      </c>
      <c r="P67">
        <v>79346.100000000006</v>
      </c>
      <c r="Q67">
        <v>9628</v>
      </c>
    </row>
    <row r="68" spans="1:17">
      <c r="A68" t="s">
        <v>27</v>
      </c>
      <c r="B68" t="s">
        <v>18</v>
      </c>
      <c r="C68">
        <v>42018.400000000001</v>
      </c>
      <c r="D68">
        <v>8296</v>
      </c>
      <c r="E68">
        <v>0.115</v>
      </c>
      <c r="F68">
        <v>17</v>
      </c>
      <c r="G68">
        <v>0.91799999999999993</v>
      </c>
      <c r="H68">
        <v>0.77</v>
      </c>
      <c r="I68">
        <v>0</v>
      </c>
      <c r="J68">
        <v>3.4</v>
      </c>
      <c r="K68">
        <v>740496.65</v>
      </c>
      <c r="L68">
        <v>128020.9</v>
      </c>
      <c r="M68">
        <f t="shared" si="3"/>
        <v>1</v>
      </c>
      <c r="N68">
        <f t="shared" si="4"/>
        <v>0</v>
      </c>
      <c r="O68">
        <f t="shared" si="5"/>
        <v>0</v>
      </c>
      <c r="P68">
        <v>42018.400000000001</v>
      </c>
      <c r="Q68">
        <v>8296</v>
      </c>
    </row>
    <row r="69" spans="1:17">
      <c r="A69" t="s">
        <v>15</v>
      </c>
      <c r="B69" t="s">
        <v>18</v>
      </c>
      <c r="C69">
        <v>70937.240000000005</v>
      </c>
      <c r="D69">
        <v>3595</v>
      </c>
      <c r="E69">
        <v>0.14099999999999999</v>
      </c>
      <c r="F69">
        <v>11</v>
      </c>
      <c r="G69">
        <v>0.88900000000000001</v>
      </c>
      <c r="H69">
        <v>2.83</v>
      </c>
      <c r="I69">
        <v>1</v>
      </c>
      <c r="J69">
        <v>3.3</v>
      </c>
      <c r="K69">
        <v>661927.14</v>
      </c>
      <c r="L69">
        <v>79218.570000000007</v>
      </c>
      <c r="M69">
        <f t="shared" si="3"/>
        <v>1</v>
      </c>
      <c r="N69">
        <f t="shared" si="4"/>
        <v>0</v>
      </c>
      <c r="O69">
        <f t="shared" si="5"/>
        <v>0</v>
      </c>
      <c r="P69">
        <v>70937.240000000005</v>
      </c>
      <c r="Q69">
        <v>3595</v>
      </c>
    </row>
    <row r="70" spans="1:17">
      <c r="A70" t="s">
        <v>15</v>
      </c>
      <c r="B70" t="s">
        <v>18</v>
      </c>
      <c r="C70">
        <v>36813.449999999997</v>
      </c>
      <c r="D70">
        <v>2834</v>
      </c>
      <c r="E70">
        <v>0.191</v>
      </c>
      <c r="F70">
        <v>11</v>
      </c>
      <c r="G70">
        <v>0.81799999999999995</v>
      </c>
      <c r="H70">
        <v>2.33</v>
      </c>
      <c r="I70">
        <v>0</v>
      </c>
      <c r="J70">
        <v>3.3</v>
      </c>
      <c r="K70">
        <v>479050.5</v>
      </c>
      <c r="L70">
        <v>53651.11</v>
      </c>
      <c r="M70">
        <f t="shared" si="3"/>
        <v>1</v>
      </c>
      <c r="N70">
        <f t="shared" si="4"/>
        <v>0</v>
      </c>
      <c r="O70">
        <f t="shared" si="5"/>
        <v>0</v>
      </c>
      <c r="P70">
        <v>36813.449999999997</v>
      </c>
      <c r="Q70">
        <v>2834</v>
      </c>
    </row>
    <row r="71" spans="1:17">
      <c r="A71" t="s">
        <v>15</v>
      </c>
      <c r="B71" t="s">
        <v>18</v>
      </c>
      <c r="C71">
        <v>60571.82</v>
      </c>
      <c r="D71">
        <v>3193</v>
      </c>
      <c r="E71">
        <v>0.19700000000000001</v>
      </c>
      <c r="F71">
        <v>7</v>
      </c>
      <c r="G71">
        <v>0.99</v>
      </c>
      <c r="H71">
        <v>1.43</v>
      </c>
      <c r="I71">
        <v>0</v>
      </c>
      <c r="J71">
        <v>3.2</v>
      </c>
      <c r="K71">
        <v>605023.87</v>
      </c>
      <c r="L71">
        <v>98545.81</v>
      </c>
      <c r="M71">
        <f t="shared" si="3"/>
        <v>1</v>
      </c>
      <c r="N71">
        <f t="shared" si="4"/>
        <v>0</v>
      </c>
      <c r="O71">
        <f t="shared" si="5"/>
        <v>0</v>
      </c>
      <c r="P71">
        <v>60571.82</v>
      </c>
      <c r="Q71">
        <v>3193</v>
      </c>
    </row>
    <row r="72" spans="1:17">
      <c r="A72" t="s">
        <v>15</v>
      </c>
      <c r="B72" t="s">
        <v>16</v>
      </c>
      <c r="C72">
        <v>46201.46</v>
      </c>
      <c r="D72">
        <v>5918</v>
      </c>
      <c r="E72">
        <v>0.27700000000000002</v>
      </c>
      <c r="F72">
        <v>13</v>
      </c>
      <c r="G72">
        <v>0.78799999999999992</v>
      </c>
      <c r="H72">
        <v>4.91</v>
      </c>
      <c r="I72">
        <v>0</v>
      </c>
      <c r="J72">
        <v>4.5</v>
      </c>
      <c r="K72">
        <v>616069.41</v>
      </c>
      <c r="L72">
        <v>54453.99</v>
      </c>
      <c r="M72">
        <f t="shared" si="3"/>
        <v>0</v>
      </c>
      <c r="N72">
        <f t="shared" si="4"/>
        <v>0</v>
      </c>
      <c r="O72">
        <f t="shared" si="5"/>
        <v>0</v>
      </c>
      <c r="P72">
        <v>46201.46</v>
      </c>
      <c r="Q72">
        <v>5918</v>
      </c>
    </row>
    <row r="73" spans="1:17">
      <c r="A73" t="s">
        <v>15</v>
      </c>
      <c r="B73" t="s">
        <v>16</v>
      </c>
      <c r="C73">
        <v>53762.92</v>
      </c>
      <c r="D73">
        <v>6821</v>
      </c>
      <c r="E73">
        <v>6.6000000000000003E-2</v>
      </c>
      <c r="F73">
        <v>19</v>
      </c>
      <c r="G73">
        <v>0.94599999999999995</v>
      </c>
      <c r="H73">
        <v>7.03</v>
      </c>
      <c r="I73">
        <v>0</v>
      </c>
      <c r="J73">
        <v>4.4000000000000004</v>
      </c>
      <c r="K73">
        <v>630829.93999999994</v>
      </c>
      <c r="L73">
        <v>117090.02</v>
      </c>
      <c r="M73">
        <f t="shared" si="3"/>
        <v>0</v>
      </c>
      <c r="N73">
        <f t="shared" si="4"/>
        <v>0</v>
      </c>
      <c r="O73">
        <f t="shared" si="5"/>
        <v>0</v>
      </c>
      <c r="P73">
        <v>53762.92</v>
      </c>
      <c r="Q73">
        <v>6821</v>
      </c>
    </row>
    <row r="74" spans="1:17">
      <c r="A74" t="s">
        <v>15</v>
      </c>
      <c r="B74" t="s">
        <v>16</v>
      </c>
      <c r="C74">
        <v>70144.78</v>
      </c>
      <c r="D74">
        <v>6806</v>
      </c>
      <c r="E74">
        <v>0.17799999999999999</v>
      </c>
      <c r="F74">
        <v>20</v>
      </c>
      <c r="G74">
        <v>0.93099999999999994</v>
      </c>
      <c r="H74">
        <v>0.28000000000000003</v>
      </c>
      <c r="I74">
        <v>1</v>
      </c>
      <c r="J74">
        <v>4.3</v>
      </c>
      <c r="K74">
        <v>788087.68</v>
      </c>
      <c r="L74">
        <v>116803.42</v>
      </c>
      <c r="M74">
        <f t="shared" si="3"/>
        <v>0</v>
      </c>
      <c r="N74">
        <f t="shared" si="4"/>
        <v>0</v>
      </c>
      <c r="O74">
        <f t="shared" si="5"/>
        <v>0</v>
      </c>
      <c r="P74">
        <v>70144.78</v>
      </c>
      <c r="Q74">
        <v>6806</v>
      </c>
    </row>
    <row r="75" spans="1:17">
      <c r="A75" t="s">
        <v>15</v>
      </c>
      <c r="B75" t="s">
        <v>16</v>
      </c>
      <c r="C75">
        <v>58749.63</v>
      </c>
      <c r="D75">
        <v>8252</v>
      </c>
      <c r="E75">
        <v>0.20300000000000001</v>
      </c>
      <c r="F75">
        <v>20</v>
      </c>
      <c r="G75">
        <v>0.85199999999999998</v>
      </c>
      <c r="H75">
        <v>3.61</v>
      </c>
      <c r="I75">
        <v>0</v>
      </c>
      <c r="J75">
        <v>4.5</v>
      </c>
      <c r="K75">
        <v>680840.36</v>
      </c>
      <c r="L75">
        <v>68007.679999999993</v>
      </c>
      <c r="M75">
        <f t="shared" si="3"/>
        <v>0</v>
      </c>
      <c r="N75">
        <f t="shared" si="4"/>
        <v>0</v>
      </c>
      <c r="O75">
        <f t="shared" si="5"/>
        <v>0</v>
      </c>
      <c r="P75">
        <v>58749.63</v>
      </c>
      <c r="Q75">
        <v>8252</v>
      </c>
    </row>
    <row r="76" spans="1:17">
      <c r="A76" t="s">
        <v>24</v>
      </c>
      <c r="B76" t="s">
        <v>18</v>
      </c>
      <c r="C76">
        <v>56973.18</v>
      </c>
      <c r="D76">
        <v>6662</v>
      </c>
      <c r="E76">
        <v>0.1</v>
      </c>
      <c r="F76">
        <v>15</v>
      </c>
      <c r="G76">
        <v>0.77700000000000002</v>
      </c>
      <c r="H76">
        <v>7.52</v>
      </c>
      <c r="I76">
        <v>1</v>
      </c>
      <c r="J76">
        <v>3.2</v>
      </c>
      <c r="K76">
        <v>643657.47</v>
      </c>
      <c r="L76">
        <v>87022.45</v>
      </c>
      <c r="M76">
        <f t="shared" si="3"/>
        <v>1</v>
      </c>
      <c r="N76">
        <f t="shared" si="4"/>
        <v>0</v>
      </c>
      <c r="O76">
        <f t="shared" si="5"/>
        <v>0</v>
      </c>
      <c r="P76">
        <v>56973.18</v>
      </c>
      <c r="Q76">
        <v>6662</v>
      </c>
    </row>
    <row r="77" spans="1:17">
      <c r="A77" t="s">
        <v>24</v>
      </c>
      <c r="B77" t="s">
        <v>18</v>
      </c>
      <c r="C77">
        <v>54872.82</v>
      </c>
      <c r="D77">
        <v>5962</v>
      </c>
      <c r="E77">
        <v>6.4000000000000001E-2</v>
      </c>
      <c r="F77">
        <v>12</v>
      </c>
      <c r="G77">
        <v>0.85400000000000009</v>
      </c>
      <c r="H77">
        <v>2.58</v>
      </c>
      <c r="I77">
        <v>0</v>
      </c>
      <c r="J77">
        <v>2.9</v>
      </c>
      <c r="K77">
        <v>691112.6</v>
      </c>
      <c r="L77">
        <v>109212.83</v>
      </c>
      <c r="M77">
        <f t="shared" si="3"/>
        <v>1</v>
      </c>
      <c r="N77">
        <f t="shared" si="4"/>
        <v>0</v>
      </c>
      <c r="O77">
        <f t="shared" si="5"/>
        <v>0</v>
      </c>
      <c r="P77">
        <v>54872.82</v>
      </c>
      <c r="Q77">
        <v>5962</v>
      </c>
    </row>
    <row r="78" spans="1:17">
      <c r="A78" t="s">
        <v>24</v>
      </c>
      <c r="B78" t="s">
        <v>18</v>
      </c>
      <c r="C78">
        <v>80562.81</v>
      </c>
      <c r="D78">
        <v>7470</v>
      </c>
      <c r="E78">
        <v>0.17199999999999999</v>
      </c>
      <c r="F78">
        <v>16</v>
      </c>
      <c r="G78">
        <v>0.83499999999999996</v>
      </c>
      <c r="H78">
        <v>2.29</v>
      </c>
      <c r="I78">
        <v>0</v>
      </c>
      <c r="J78">
        <v>3.3</v>
      </c>
      <c r="K78">
        <v>776922.17</v>
      </c>
      <c r="L78">
        <v>150701.93</v>
      </c>
      <c r="M78">
        <f t="shared" si="3"/>
        <v>1</v>
      </c>
      <c r="N78">
        <f t="shared" si="4"/>
        <v>0</v>
      </c>
      <c r="O78">
        <f t="shared" si="5"/>
        <v>0</v>
      </c>
      <c r="P78">
        <v>80562.81</v>
      </c>
      <c r="Q78">
        <v>7470</v>
      </c>
    </row>
    <row r="79" spans="1:17">
      <c r="A79" t="s">
        <v>24</v>
      </c>
      <c r="B79" t="s">
        <v>18</v>
      </c>
      <c r="C79">
        <v>77999.899999999994</v>
      </c>
      <c r="D79">
        <v>5974</v>
      </c>
      <c r="E79">
        <v>0.252</v>
      </c>
      <c r="F79">
        <v>14</v>
      </c>
      <c r="G79">
        <v>0.81299999999999994</v>
      </c>
      <c r="H79">
        <v>2.39</v>
      </c>
      <c r="I79">
        <v>0</v>
      </c>
      <c r="J79">
        <v>3.2</v>
      </c>
      <c r="K79">
        <v>636561.34</v>
      </c>
      <c r="L79">
        <v>93861.06</v>
      </c>
      <c r="M79">
        <f t="shared" si="3"/>
        <v>1</v>
      </c>
      <c r="N79">
        <f t="shared" si="4"/>
        <v>0</v>
      </c>
      <c r="O79">
        <f t="shared" si="5"/>
        <v>0</v>
      </c>
      <c r="P79">
        <v>77999.899999999994</v>
      </c>
      <c r="Q79">
        <v>5974</v>
      </c>
    </row>
    <row r="80" spans="1:17">
      <c r="A80" t="s">
        <v>27</v>
      </c>
      <c r="B80" t="s">
        <v>28</v>
      </c>
      <c r="C80">
        <v>60881.01</v>
      </c>
      <c r="D80">
        <v>5410</v>
      </c>
      <c r="E80">
        <v>0.17899999999999999</v>
      </c>
      <c r="F80">
        <v>15</v>
      </c>
      <c r="G80">
        <v>0.83900000000000008</v>
      </c>
      <c r="H80">
        <v>5.24</v>
      </c>
      <c r="I80">
        <v>0</v>
      </c>
      <c r="J80">
        <v>4.5999999999999996</v>
      </c>
      <c r="K80">
        <v>621369.57999999996</v>
      </c>
      <c r="L80">
        <v>85493.64</v>
      </c>
      <c r="M80">
        <f t="shared" si="3"/>
        <v>0</v>
      </c>
      <c r="N80">
        <f t="shared" si="4"/>
        <v>0</v>
      </c>
      <c r="O80">
        <f t="shared" si="5"/>
        <v>1</v>
      </c>
      <c r="P80">
        <v>60881.01</v>
      </c>
      <c r="Q80">
        <v>5410</v>
      </c>
    </row>
    <row r="81" spans="1:17">
      <c r="A81" t="s">
        <v>27</v>
      </c>
      <c r="B81" t="s">
        <v>28</v>
      </c>
      <c r="C81">
        <v>60628.38</v>
      </c>
      <c r="D81">
        <v>4451</v>
      </c>
      <c r="E81">
        <v>9.5000000000000001E-2</v>
      </c>
      <c r="F81">
        <v>10</v>
      </c>
      <c r="G81">
        <v>0.89599999999999991</v>
      </c>
      <c r="H81">
        <v>3.17</v>
      </c>
      <c r="I81">
        <v>0</v>
      </c>
      <c r="J81">
        <v>4.5999999999999996</v>
      </c>
      <c r="K81">
        <v>682208.01</v>
      </c>
      <c r="L81">
        <v>110318.84</v>
      </c>
      <c r="M81">
        <f t="shared" si="3"/>
        <v>0</v>
      </c>
      <c r="N81">
        <f t="shared" si="4"/>
        <v>0</v>
      </c>
      <c r="O81">
        <f t="shared" si="5"/>
        <v>1</v>
      </c>
      <c r="P81">
        <v>60628.38</v>
      </c>
      <c r="Q81">
        <v>4451</v>
      </c>
    </row>
    <row r="82" spans="1:17">
      <c r="A82" t="s">
        <v>27</v>
      </c>
      <c r="B82" t="s">
        <v>28</v>
      </c>
      <c r="C82">
        <v>72731.14</v>
      </c>
      <c r="D82">
        <v>4644</v>
      </c>
      <c r="E82">
        <v>8.4000000000000005E-2</v>
      </c>
      <c r="F82">
        <v>15</v>
      </c>
      <c r="G82">
        <v>0.871</v>
      </c>
      <c r="H82">
        <v>2.66</v>
      </c>
      <c r="I82">
        <v>0</v>
      </c>
      <c r="J82">
        <v>4.5999999999999996</v>
      </c>
      <c r="K82">
        <v>727241.86</v>
      </c>
      <c r="L82">
        <v>155810.29999999999</v>
      </c>
      <c r="M82">
        <f t="shared" si="3"/>
        <v>0</v>
      </c>
      <c r="N82">
        <f t="shared" si="4"/>
        <v>0</v>
      </c>
      <c r="O82">
        <f t="shared" si="5"/>
        <v>1</v>
      </c>
      <c r="P82">
        <v>72731.14</v>
      </c>
      <c r="Q82">
        <v>4644</v>
      </c>
    </row>
    <row r="83" spans="1:17">
      <c r="A83" t="s">
        <v>27</v>
      </c>
      <c r="B83" t="s">
        <v>28</v>
      </c>
      <c r="C83">
        <v>36475.71</v>
      </c>
      <c r="D83">
        <v>3559</v>
      </c>
      <c r="E83">
        <v>0.03</v>
      </c>
      <c r="F83">
        <v>8</v>
      </c>
      <c r="G83">
        <v>0.83599999999999997</v>
      </c>
      <c r="H83">
        <v>1.41</v>
      </c>
      <c r="I83">
        <v>0</v>
      </c>
      <c r="J83">
        <v>4.2</v>
      </c>
      <c r="K83">
        <v>569100.78</v>
      </c>
      <c r="L83">
        <v>104808.78</v>
      </c>
      <c r="M83">
        <f t="shared" si="3"/>
        <v>0</v>
      </c>
      <c r="N83">
        <f t="shared" si="4"/>
        <v>0</v>
      </c>
      <c r="O83">
        <f t="shared" si="5"/>
        <v>1</v>
      </c>
      <c r="P83">
        <v>36475.71</v>
      </c>
      <c r="Q83">
        <v>3559</v>
      </c>
    </row>
    <row r="84" spans="1:17">
      <c r="A84" t="s">
        <v>27</v>
      </c>
      <c r="B84" t="s">
        <v>18</v>
      </c>
      <c r="C84">
        <v>55388.11</v>
      </c>
      <c r="D84">
        <v>3091</v>
      </c>
      <c r="E84">
        <v>0.108</v>
      </c>
      <c r="F84">
        <v>7</v>
      </c>
      <c r="G84">
        <v>0.85400000000000009</v>
      </c>
      <c r="H84">
        <v>7.34</v>
      </c>
      <c r="I84">
        <v>0</v>
      </c>
      <c r="J84">
        <v>4.9000000000000004</v>
      </c>
      <c r="K84">
        <v>574436.29</v>
      </c>
      <c r="L84">
        <v>80271.990000000005</v>
      </c>
      <c r="M84">
        <f t="shared" si="3"/>
        <v>1</v>
      </c>
      <c r="N84">
        <f t="shared" si="4"/>
        <v>0</v>
      </c>
      <c r="O84">
        <f t="shared" si="5"/>
        <v>0</v>
      </c>
      <c r="P84">
        <v>55388.11</v>
      </c>
      <c r="Q84">
        <v>3091</v>
      </c>
    </row>
    <row r="85" spans="1:17">
      <c r="A85" t="s">
        <v>27</v>
      </c>
      <c r="B85" t="s">
        <v>18</v>
      </c>
      <c r="C85">
        <v>78231.91</v>
      </c>
      <c r="D85">
        <v>3788</v>
      </c>
      <c r="E85">
        <v>5.8999999999999997E-2</v>
      </c>
      <c r="F85">
        <v>11</v>
      </c>
      <c r="G85">
        <v>0.88500000000000001</v>
      </c>
      <c r="H85">
        <v>15.51</v>
      </c>
      <c r="I85">
        <v>0</v>
      </c>
      <c r="J85">
        <v>4.3</v>
      </c>
      <c r="K85">
        <v>614596.31999999995</v>
      </c>
      <c r="L85">
        <v>131199.41</v>
      </c>
      <c r="M85">
        <f t="shared" si="3"/>
        <v>1</v>
      </c>
      <c r="N85">
        <f t="shared" si="4"/>
        <v>0</v>
      </c>
      <c r="O85">
        <f t="shared" si="5"/>
        <v>0</v>
      </c>
      <c r="P85">
        <v>78231.91</v>
      </c>
      <c r="Q85">
        <v>3788</v>
      </c>
    </row>
    <row r="86" spans="1:17">
      <c r="A86" t="s">
        <v>27</v>
      </c>
      <c r="B86" t="s">
        <v>18</v>
      </c>
      <c r="C86">
        <v>18996.32</v>
      </c>
      <c r="D86">
        <v>1260</v>
      </c>
      <c r="E86">
        <v>0.14499999999999999</v>
      </c>
      <c r="F86">
        <v>9</v>
      </c>
      <c r="G86">
        <v>0.8640000000000001</v>
      </c>
      <c r="H86">
        <v>4.3099999999999996</v>
      </c>
      <c r="I86">
        <v>0</v>
      </c>
      <c r="J86">
        <v>4.5999999999999996</v>
      </c>
      <c r="K86">
        <v>450711.92</v>
      </c>
      <c r="L86">
        <v>90043.76</v>
      </c>
      <c r="M86">
        <f t="shared" si="3"/>
        <v>1</v>
      </c>
      <c r="N86">
        <f t="shared" si="4"/>
        <v>0</v>
      </c>
      <c r="O86">
        <f t="shared" si="5"/>
        <v>0</v>
      </c>
      <c r="P86">
        <v>18996.32</v>
      </c>
      <c r="Q86">
        <v>1260</v>
      </c>
    </row>
    <row r="87" spans="1:17">
      <c r="A87" t="s">
        <v>24</v>
      </c>
      <c r="B87" t="s">
        <v>28</v>
      </c>
      <c r="C87">
        <v>50517.94</v>
      </c>
      <c r="D87">
        <v>7024</v>
      </c>
      <c r="E87">
        <v>2.9000000000000001E-2</v>
      </c>
      <c r="F87">
        <v>18</v>
      </c>
      <c r="G87">
        <v>0.79200000000000004</v>
      </c>
      <c r="H87">
        <v>6.61</v>
      </c>
      <c r="I87">
        <v>1</v>
      </c>
      <c r="J87">
        <v>4.0999999999999996</v>
      </c>
      <c r="K87">
        <v>711213.46</v>
      </c>
      <c r="L87">
        <v>105863.26</v>
      </c>
      <c r="M87">
        <f t="shared" si="3"/>
        <v>0</v>
      </c>
      <c r="N87">
        <f t="shared" si="4"/>
        <v>0</v>
      </c>
      <c r="O87">
        <f t="shared" si="5"/>
        <v>1</v>
      </c>
      <c r="P87">
        <v>50517.94</v>
      </c>
      <c r="Q87">
        <v>7024</v>
      </c>
    </row>
    <row r="88" spans="1:17">
      <c r="A88" t="s">
        <v>24</v>
      </c>
      <c r="B88" t="s">
        <v>28</v>
      </c>
      <c r="C88">
        <v>141540.29</v>
      </c>
      <c r="D88">
        <v>5400</v>
      </c>
      <c r="E88">
        <v>1.2999999999999999E-2</v>
      </c>
      <c r="F88">
        <v>12</v>
      </c>
      <c r="G88">
        <v>0.87</v>
      </c>
      <c r="H88">
        <v>4.26</v>
      </c>
      <c r="I88">
        <v>0</v>
      </c>
      <c r="J88">
        <v>4.5</v>
      </c>
      <c r="K88">
        <v>627171.9</v>
      </c>
      <c r="L88">
        <v>105772.75</v>
      </c>
      <c r="M88">
        <f t="shared" si="3"/>
        <v>0</v>
      </c>
      <c r="N88">
        <f t="shared" si="4"/>
        <v>0</v>
      </c>
      <c r="O88">
        <f t="shared" si="5"/>
        <v>1</v>
      </c>
      <c r="P88">
        <v>141540.29</v>
      </c>
      <c r="Q88">
        <v>5400</v>
      </c>
    </row>
    <row r="89" spans="1:17">
      <c r="A89" t="s">
        <v>24</v>
      </c>
      <c r="B89" t="s">
        <v>28</v>
      </c>
      <c r="C89">
        <v>82116.19</v>
      </c>
      <c r="D89">
        <v>5988</v>
      </c>
      <c r="E89">
        <v>0.04</v>
      </c>
      <c r="F89">
        <v>17</v>
      </c>
      <c r="G89">
        <v>0.91799999999999993</v>
      </c>
      <c r="H89">
        <v>5.75</v>
      </c>
      <c r="I89">
        <v>0</v>
      </c>
      <c r="J89">
        <v>4.7</v>
      </c>
      <c r="K89">
        <v>739852.58</v>
      </c>
      <c r="L89">
        <v>129386.43</v>
      </c>
      <c r="M89">
        <f t="shared" si="3"/>
        <v>0</v>
      </c>
      <c r="N89">
        <f t="shared" si="4"/>
        <v>0</v>
      </c>
      <c r="O89">
        <f t="shared" si="5"/>
        <v>1</v>
      </c>
      <c r="P89">
        <v>82116.19</v>
      </c>
      <c r="Q89">
        <v>5988</v>
      </c>
    </row>
    <row r="90" spans="1:17">
      <c r="A90" t="s">
        <v>24</v>
      </c>
      <c r="B90" t="s">
        <v>28</v>
      </c>
      <c r="C90">
        <v>31207.51</v>
      </c>
      <c r="D90">
        <v>3701</v>
      </c>
      <c r="E90">
        <v>4.2999999999999997E-2</v>
      </c>
      <c r="F90">
        <v>11</v>
      </c>
      <c r="G90">
        <v>0.84699999999999998</v>
      </c>
      <c r="H90">
        <v>0.33</v>
      </c>
      <c r="I90">
        <v>0</v>
      </c>
      <c r="J90">
        <v>4.3</v>
      </c>
      <c r="K90">
        <v>586307.22</v>
      </c>
      <c r="L90">
        <v>73927.850000000006</v>
      </c>
      <c r="M90">
        <f t="shared" si="3"/>
        <v>0</v>
      </c>
      <c r="N90">
        <f t="shared" si="4"/>
        <v>0</v>
      </c>
      <c r="O90">
        <f t="shared" si="5"/>
        <v>1</v>
      </c>
      <c r="P90">
        <v>31207.51</v>
      </c>
      <c r="Q90">
        <v>3701</v>
      </c>
    </row>
    <row r="91" spans="1:17">
      <c r="A91" t="s">
        <v>27</v>
      </c>
      <c r="B91" t="s">
        <v>16</v>
      </c>
      <c r="C91">
        <v>38966.589999999997</v>
      </c>
      <c r="D91">
        <v>4509</v>
      </c>
      <c r="E91">
        <v>0.19400000000000001</v>
      </c>
      <c r="F91">
        <v>14</v>
      </c>
      <c r="G91">
        <v>0.91099999999999992</v>
      </c>
      <c r="H91">
        <v>2.92</v>
      </c>
      <c r="I91">
        <v>0</v>
      </c>
      <c r="J91">
        <v>4.5999999999999996</v>
      </c>
      <c r="K91">
        <v>585937.48</v>
      </c>
      <c r="L91">
        <v>82624.2</v>
      </c>
      <c r="M91">
        <f t="shared" si="3"/>
        <v>0</v>
      </c>
      <c r="N91">
        <f t="shared" si="4"/>
        <v>0</v>
      </c>
      <c r="O91">
        <f t="shared" si="5"/>
        <v>0</v>
      </c>
      <c r="P91">
        <v>38966.589999999997</v>
      </c>
      <c r="Q91">
        <v>4509</v>
      </c>
    </row>
    <row r="92" spans="1:17">
      <c r="A92" t="s">
        <v>27</v>
      </c>
      <c r="B92" t="s">
        <v>16</v>
      </c>
      <c r="C92">
        <v>67439.3</v>
      </c>
      <c r="D92">
        <v>6477</v>
      </c>
      <c r="E92">
        <v>0</v>
      </c>
      <c r="F92">
        <v>16</v>
      </c>
      <c r="G92">
        <v>0.90900000000000003</v>
      </c>
      <c r="H92">
        <v>1.64</v>
      </c>
      <c r="I92">
        <v>0</v>
      </c>
      <c r="J92">
        <v>4.5</v>
      </c>
      <c r="K92">
        <v>753473.55</v>
      </c>
      <c r="L92">
        <v>151527.22</v>
      </c>
      <c r="M92">
        <f t="shared" si="3"/>
        <v>0</v>
      </c>
      <c r="N92">
        <f t="shared" si="4"/>
        <v>0</v>
      </c>
      <c r="O92">
        <f t="shared" si="5"/>
        <v>0</v>
      </c>
      <c r="P92">
        <v>67439.3</v>
      </c>
      <c r="Q92">
        <v>6477</v>
      </c>
    </row>
    <row r="93" spans="1:17">
      <c r="A93" t="s">
        <v>27</v>
      </c>
      <c r="B93" t="s">
        <v>16</v>
      </c>
      <c r="C93">
        <v>86421.88</v>
      </c>
      <c r="D93">
        <v>7970</v>
      </c>
      <c r="E93">
        <v>7.2999999999999995E-2</v>
      </c>
      <c r="F93">
        <v>17</v>
      </c>
      <c r="G93">
        <v>0.91299999999999992</v>
      </c>
      <c r="H93">
        <v>0.8</v>
      </c>
      <c r="I93">
        <v>0</v>
      </c>
      <c r="J93">
        <v>5</v>
      </c>
      <c r="K93">
        <v>838250.32</v>
      </c>
      <c r="L93">
        <v>122939.34</v>
      </c>
      <c r="M93">
        <f t="shared" si="3"/>
        <v>0</v>
      </c>
      <c r="N93">
        <f t="shared" si="4"/>
        <v>0</v>
      </c>
      <c r="O93">
        <f t="shared" si="5"/>
        <v>0</v>
      </c>
      <c r="P93">
        <v>86421.88</v>
      </c>
      <c r="Q93">
        <v>7970</v>
      </c>
    </row>
    <row r="94" spans="1:17">
      <c r="A94" t="s">
        <v>27</v>
      </c>
      <c r="B94" t="s">
        <v>16</v>
      </c>
      <c r="C94">
        <v>9534.65</v>
      </c>
      <c r="D94">
        <v>6057</v>
      </c>
      <c r="E94">
        <v>7.3999999999999996E-2</v>
      </c>
      <c r="F94">
        <v>15</v>
      </c>
      <c r="G94">
        <v>0.94099999999999995</v>
      </c>
      <c r="H94">
        <v>5.79</v>
      </c>
      <c r="I94">
        <v>0</v>
      </c>
      <c r="J94">
        <v>4.5</v>
      </c>
      <c r="K94">
        <v>607898.12</v>
      </c>
      <c r="L94">
        <v>135404.85</v>
      </c>
      <c r="M94">
        <f t="shared" si="3"/>
        <v>0</v>
      </c>
      <c r="N94">
        <f t="shared" si="4"/>
        <v>0</v>
      </c>
      <c r="O94">
        <f t="shared" si="5"/>
        <v>0</v>
      </c>
      <c r="P94">
        <v>9534.65</v>
      </c>
      <c r="Q94">
        <v>6057</v>
      </c>
    </row>
    <row r="95" spans="1:17">
      <c r="A95" t="s">
        <v>27</v>
      </c>
      <c r="B95" t="s">
        <v>28</v>
      </c>
      <c r="C95">
        <v>61132.07</v>
      </c>
      <c r="D95">
        <v>6394</v>
      </c>
      <c r="E95">
        <v>0.16300000000000001</v>
      </c>
      <c r="F95">
        <v>19</v>
      </c>
      <c r="G95">
        <v>0.91</v>
      </c>
      <c r="H95">
        <v>19.600000000000001</v>
      </c>
      <c r="I95">
        <v>0</v>
      </c>
      <c r="J95">
        <v>4.4000000000000004</v>
      </c>
      <c r="K95">
        <v>691113.62</v>
      </c>
      <c r="L95">
        <v>135145.44</v>
      </c>
      <c r="M95">
        <f t="shared" si="3"/>
        <v>0</v>
      </c>
      <c r="N95">
        <f t="shared" si="4"/>
        <v>0</v>
      </c>
      <c r="O95">
        <f t="shared" si="5"/>
        <v>1</v>
      </c>
      <c r="P95">
        <v>61132.07</v>
      </c>
      <c r="Q95">
        <v>6394</v>
      </c>
    </row>
    <row r="96" spans="1:17">
      <c r="A96" t="s">
        <v>27</v>
      </c>
      <c r="B96" t="s">
        <v>28</v>
      </c>
      <c r="C96">
        <v>78839.39</v>
      </c>
      <c r="D96">
        <v>5150</v>
      </c>
      <c r="E96">
        <v>0.17100000000000001</v>
      </c>
      <c r="F96">
        <v>13</v>
      </c>
      <c r="G96">
        <v>0.85799999999999998</v>
      </c>
      <c r="H96">
        <v>7.57</v>
      </c>
      <c r="I96">
        <v>0</v>
      </c>
      <c r="J96">
        <v>4.3</v>
      </c>
      <c r="K96">
        <v>735509.4</v>
      </c>
      <c r="L96">
        <v>83895.96</v>
      </c>
      <c r="M96">
        <f t="shared" si="3"/>
        <v>0</v>
      </c>
      <c r="N96">
        <f t="shared" si="4"/>
        <v>0</v>
      </c>
      <c r="O96">
        <f t="shared" si="5"/>
        <v>1</v>
      </c>
      <c r="P96">
        <v>78839.39</v>
      </c>
      <c r="Q96">
        <v>5150</v>
      </c>
    </row>
    <row r="97" spans="1:17">
      <c r="A97" t="s">
        <v>27</v>
      </c>
      <c r="B97" t="s">
        <v>28</v>
      </c>
      <c r="C97">
        <v>55101.1</v>
      </c>
      <c r="D97">
        <v>5281</v>
      </c>
      <c r="E97">
        <v>0.189</v>
      </c>
      <c r="F97">
        <v>11</v>
      </c>
      <c r="G97">
        <v>0.91</v>
      </c>
      <c r="H97">
        <v>2.7</v>
      </c>
      <c r="I97">
        <v>0</v>
      </c>
      <c r="J97">
        <v>4.4000000000000004</v>
      </c>
      <c r="K97">
        <v>675177.68</v>
      </c>
      <c r="L97">
        <v>105628.68</v>
      </c>
      <c r="M97">
        <f t="shared" si="3"/>
        <v>0</v>
      </c>
      <c r="N97">
        <f t="shared" si="4"/>
        <v>0</v>
      </c>
      <c r="O97">
        <f t="shared" si="5"/>
        <v>1</v>
      </c>
      <c r="P97">
        <v>55101.1</v>
      </c>
      <c r="Q97">
        <v>5281</v>
      </c>
    </row>
    <row r="98" spans="1:17">
      <c r="A98" t="s">
        <v>15</v>
      </c>
      <c r="B98" t="s">
        <v>28</v>
      </c>
      <c r="C98">
        <v>53084.76</v>
      </c>
      <c r="D98">
        <v>3642</v>
      </c>
      <c r="E98">
        <v>0.15</v>
      </c>
      <c r="F98">
        <v>12</v>
      </c>
      <c r="G98">
        <v>0.91400000000000003</v>
      </c>
      <c r="H98">
        <v>0.2</v>
      </c>
      <c r="I98">
        <v>0</v>
      </c>
      <c r="J98">
        <v>4.4000000000000004</v>
      </c>
      <c r="K98">
        <v>635181.35</v>
      </c>
      <c r="L98">
        <v>83341.25</v>
      </c>
      <c r="M98">
        <f t="shared" si="3"/>
        <v>0</v>
      </c>
      <c r="N98">
        <f t="shared" si="4"/>
        <v>0</v>
      </c>
      <c r="O98">
        <f t="shared" si="5"/>
        <v>1</v>
      </c>
      <c r="P98">
        <v>53084.76</v>
      </c>
      <c r="Q98">
        <v>3642</v>
      </c>
    </row>
    <row r="99" spans="1:17">
      <c r="A99" t="s">
        <v>15</v>
      </c>
      <c r="B99" t="s">
        <v>28</v>
      </c>
      <c r="C99">
        <v>63101.59</v>
      </c>
      <c r="D99">
        <v>4373</v>
      </c>
      <c r="E99">
        <v>0.17299999999999999</v>
      </c>
      <c r="F99">
        <v>14</v>
      </c>
      <c r="G99">
        <v>0.90400000000000003</v>
      </c>
      <c r="H99">
        <v>7.87</v>
      </c>
      <c r="I99">
        <v>0</v>
      </c>
      <c r="J99">
        <v>4.7</v>
      </c>
      <c r="K99">
        <v>586626.93999999994</v>
      </c>
      <c r="L99">
        <v>86498.55</v>
      </c>
      <c r="M99">
        <f t="shared" si="3"/>
        <v>0</v>
      </c>
      <c r="N99">
        <f t="shared" si="4"/>
        <v>0</v>
      </c>
      <c r="O99">
        <f t="shared" si="5"/>
        <v>1</v>
      </c>
      <c r="P99">
        <v>63101.59</v>
      </c>
      <c r="Q99">
        <v>4373</v>
      </c>
    </row>
    <row r="100" spans="1:17">
      <c r="A100" t="s">
        <v>15</v>
      </c>
      <c r="B100" t="s">
        <v>28</v>
      </c>
      <c r="C100">
        <v>90084.4</v>
      </c>
      <c r="D100">
        <v>6832</v>
      </c>
      <c r="E100">
        <v>0.185</v>
      </c>
      <c r="F100">
        <v>14</v>
      </c>
      <c r="G100">
        <v>0.80500000000000005</v>
      </c>
      <c r="H100">
        <v>0.77</v>
      </c>
      <c r="I100">
        <v>1</v>
      </c>
      <c r="J100">
        <v>4.4000000000000004</v>
      </c>
      <c r="K100">
        <v>740102.64</v>
      </c>
      <c r="L100">
        <v>114299.07</v>
      </c>
      <c r="M100">
        <f t="shared" si="3"/>
        <v>0</v>
      </c>
      <c r="N100">
        <f t="shared" si="4"/>
        <v>0</v>
      </c>
      <c r="O100">
        <f t="shared" si="5"/>
        <v>1</v>
      </c>
      <c r="P100">
        <v>90084.4</v>
      </c>
      <c r="Q100">
        <v>6832</v>
      </c>
    </row>
    <row r="101" spans="1:17">
      <c r="A101" t="s">
        <v>15</v>
      </c>
      <c r="B101" t="s">
        <v>28</v>
      </c>
      <c r="C101">
        <v>32266.639999999999</v>
      </c>
      <c r="D101">
        <v>2414</v>
      </c>
      <c r="E101">
        <v>0.08</v>
      </c>
      <c r="F101">
        <v>7</v>
      </c>
      <c r="G101">
        <v>0.92099999999999993</v>
      </c>
      <c r="H101">
        <v>1.48</v>
      </c>
      <c r="I101">
        <v>0</v>
      </c>
      <c r="J101">
        <v>5</v>
      </c>
      <c r="K101">
        <v>625514.04</v>
      </c>
      <c r="L101">
        <v>120685.08</v>
      </c>
      <c r="M101">
        <f t="shared" si="3"/>
        <v>0</v>
      </c>
      <c r="N101">
        <f t="shared" si="4"/>
        <v>0</v>
      </c>
      <c r="O101">
        <f t="shared" si="5"/>
        <v>1</v>
      </c>
      <c r="P101">
        <v>32266.639999999999</v>
      </c>
      <c r="Q101">
        <v>2414</v>
      </c>
    </row>
    <row r="102" spans="1:17">
      <c r="A102" t="s">
        <v>27</v>
      </c>
      <c r="B102" t="s">
        <v>18</v>
      </c>
      <c r="C102">
        <v>57919.07</v>
      </c>
      <c r="D102">
        <v>7374</v>
      </c>
      <c r="E102">
        <v>0.10299999999999999</v>
      </c>
      <c r="F102">
        <v>21</v>
      </c>
      <c r="G102">
        <v>0.82299999999999995</v>
      </c>
      <c r="H102">
        <v>2.87</v>
      </c>
      <c r="I102">
        <v>0</v>
      </c>
      <c r="J102">
        <v>2.9</v>
      </c>
      <c r="K102">
        <v>727227.2</v>
      </c>
      <c r="L102">
        <v>121292.01</v>
      </c>
      <c r="M102">
        <f t="shared" si="3"/>
        <v>1</v>
      </c>
      <c r="N102">
        <f t="shared" si="4"/>
        <v>0</v>
      </c>
      <c r="O102">
        <f t="shared" si="5"/>
        <v>0</v>
      </c>
      <c r="P102">
        <v>57919.07</v>
      </c>
      <c r="Q102">
        <v>7374</v>
      </c>
    </row>
    <row r="103" spans="1:17">
      <c r="A103" t="s">
        <v>27</v>
      </c>
      <c r="B103" t="s">
        <v>18</v>
      </c>
      <c r="C103">
        <v>74679.350000000006</v>
      </c>
      <c r="D103">
        <v>8739</v>
      </c>
      <c r="E103">
        <v>5.6000000000000001E-2</v>
      </c>
      <c r="F103">
        <v>21</v>
      </c>
      <c r="G103">
        <v>0.91799999999999993</v>
      </c>
      <c r="H103">
        <v>2.83</v>
      </c>
      <c r="I103">
        <v>0</v>
      </c>
      <c r="J103">
        <v>3</v>
      </c>
      <c r="K103">
        <v>783797.89</v>
      </c>
      <c r="L103">
        <v>157620.70000000001</v>
      </c>
      <c r="M103">
        <f t="shared" si="3"/>
        <v>1</v>
      </c>
      <c r="N103">
        <f t="shared" si="4"/>
        <v>0</v>
      </c>
      <c r="O103">
        <f t="shared" si="5"/>
        <v>0</v>
      </c>
      <c r="P103">
        <v>74679.350000000006</v>
      </c>
      <c r="Q103">
        <v>8739</v>
      </c>
    </row>
    <row r="104" spans="1:17">
      <c r="A104" t="s">
        <v>27</v>
      </c>
      <c r="B104" t="s">
        <v>18</v>
      </c>
      <c r="C104">
        <v>64294.23</v>
      </c>
      <c r="D104">
        <v>6992</v>
      </c>
      <c r="E104">
        <v>0.13300000000000001</v>
      </c>
      <c r="F104">
        <v>14</v>
      </c>
      <c r="G104">
        <v>0.94099999999999995</v>
      </c>
      <c r="H104">
        <v>0.25</v>
      </c>
      <c r="I104">
        <v>0</v>
      </c>
      <c r="J104">
        <v>3</v>
      </c>
      <c r="K104">
        <v>795153.84</v>
      </c>
      <c r="L104">
        <v>143194.21</v>
      </c>
      <c r="M104">
        <f t="shared" si="3"/>
        <v>1</v>
      </c>
      <c r="N104">
        <f t="shared" si="4"/>
        <v>0</v>
      </c>
      <c r="O104">
        <f t="shared" si="5"/>
        <v>0</v>
      </c>
      <c r="P104">
        <v>64294.23</v>
      </c>
      <c r="Q104">
        <v>6992</v>
      </c>
    </row>
    <row r="105" spans="1:17">
      <c r="A105" t="s">
        <v>27</v>
      </c>
      <c r="B105" t="s">
        <v>18</v>
      </c>
      <c r="C105">
        <v>31042.03</v>
      </c>
      <c r="D105">
        <v>7107</v>
      </c>
      <c r="E105">
        <v>5.0999999999999997E-2</v>
      </c>
      <c r="F105">
        <v>15</v>
      </c>
      <c r="G105">
        <v>0.87</v>
      </c>
      <c r="H105">
        <v>13.33</v>
      </c>
      <c r="I105">
        <v>0</v>
      </c>
      <c r="J105">
        <v>3.2</v>
      </c>
      <c r="K105">
        <v>665594.93999999994</v>
      </c>
      <c r="L105">
        <v>127597.34</v>
      </c>
      <c r="M105">
        <f t="shared" si="3"/>
        <v>1</v>
      </c>
      <c r="N105">
        <f t="shared" si="4"/>
        <v>0</v>
      </c>
      <c r="O105">
        <f t="shared" si="5"/>
        <v>0</v>
      </c>
      <c r="P105">
        <v>31042.03</v>
      </c>
      <c r="Q105">
        <v>7107</v>
      </c>
    </row>
    <row r="106" spans="1:17">
      <c r="A106" t="s">
        <v>15</v>
      </c>
      <c r="B106" t="s">
        <v>28</v>
      </c>
      <c r="C106">
        <v>75265.02</v>
      </c>
      <c r="D106">
        <v>6975</v>
      </c>
      <c r="E106">
        <v>0.157</v>
      </c>
      <c r="F106">
        <v>20</v>
      </c>
      <c r="G106">
        <v>0.73799999999999999</v>
      </c>
      <c r="H106">
        <v>6.35</v>
      </c>
      <c r="I106">
        <v>1</v>
      </c>
      <c r="J106">
        <v>3.8</v>
      </c>
      <c r="K106">
        <v>709478.39</v>
      </c>
      <c r="L106">
        <v>71294.27</v>
      </c>
      <c r="M106">
        <f t="shared" si="3"/>
        <v>0</v>
      </c>
      <c r="N106">
        <f t="shared" si="4"/>
        <v>0</v>
      </c>
      <c r="O106">
        <f t="shared" si="5"/>
        <v>1</v>
      </c>
      <c r="P106">
        <v>75265.02</v>
      </c>
      <c r="Q106">
        <v>6975</v>
      </c>
    </row>
    <row r="107" spans="1:17">
      <c r="A107" t="s">
        <v>15</v>
      </c>
      <c r="B107" t="s">
        <v>28</v>
      </c>
      <c r="C107">
        <v>69411.7</v>
      </c>
      <c r="D107">
        <v>5493</v>
      </c>
      <c r="E107">
        <v>0.29199999999999998</v>
      </c>
      <c r="F107">
        <v>13</v>
      </c>
      <c r="G107">
        <v>0.86499999999999999</v>
      </c>
      <c r="H107">
        <v>6.69</v>
      </c>
      <c r="I107">
        <v>0</v>
      </c>
      <c r="J107">
        <v>3.8</v>
      </c>
      <c r="K107">
        <v>664162.49</v>
      </c>
      <c r="L107">
        <v>98291.06</v>
      </c>
      <c r="M107">
        <f t="shared" si="3"/>
        <v>0</v>
      </c>
      <c r="N107">
        <f t="shared" si="4"/>
        <v>0</v>
      </c>
      <c r="O107">
        <f t="shared" si="5"/>
        <v>1</v>
      </c>
      <c r="P107">
        <v>69411.7</v>
      </c>
      <c r="Q107">
        <v>5493</v>
      </c>
    </row>
    <row r="108" spans="1:17">
      <c r="A108" t="s">
        <v>15</v>
      </c>
      <c r="B108" t="s">
        <v>28</v>
      </c>
      <c r="C108">
        <v>51056.15</v>
      </c>
      <c r="D108">
        <v>5686</v>
      </c>
      <c r="E108">
        <v>8.8999999999999996E-2</v>
      </c>
      <c r="F108">
        <v>13</v>
      </c>
      <c r="G108">
        <v>0.89900000000000002</v>
      </c>
      <c r="H108">
        <v>1.28</v>
      </c>
      <c r="I108">
        <v>0</v>
      </c>
      <c r="J108">
        <v>4.2</v>
      </c>
      <c r="K108">
        <v>633494.21</v>
      </c>
      <c r="L108">
        <v>105739.47</v>
      </c>
      <c r="M108">
        <f t="shared" si="3"/>
        <v>0</v>
      </c>
      <c r="N108">
        <f t="shared" si="4"/>
        <v>0</v>
      </c>
      <c r="O108">
        <f t="shared" si="5"/>
        <v>1</v>
      </c>
      <c r="P108">
        <v>51056.15</v>
      </c>
      <c r="Q108">
        <v>5686</v>
      </c>
    </row>
    <row r="109" spans="1:17">
      <c r="A109" t="s">
        <v>15</v>
      </c>
      <c r="B109" t="s">
        <v>28</v>
      </c>
      <c r="C109">
        <v>52758.01</v>
      </c>
      <c r="D109">
        <v>4063</v>
      </c>
      <c r="E109">
        <v>5.7000000000000002E-2</v>
      </c>
      <c r="F109">
        <v>12</v>
      </c>
      <c r="G109">
        <v>0.91700000000000004</v>
      </c>
      <c r="H109">
        <v>0.92</v>
      </c>
      <c r="I109">
        <v>0</v>
      </c>
      <c r="J109">
        <v>3.5</v>
      </c>
      <c r="K109">
        <v>713611.16</v>
      </c>
      <c r="L109">
        <v>129717.18</v>
      </c>
      <c r="M109">
        <f t="shared" si="3"/>
        <v>0</v>
      </c>
      <c r="N109">
        <f t="shared" si="4"/>
        <v>0</v>
      </c>
      <c r="O109">
        <f t="shared" si="5"/>
        <v>1</v>
      </c>
      <c r="P109">
        <v>52758.01</v>
      </c>
      <c r="Q109">
        <v>4063</v>
      </c>
    </row>
    <row r="110" spans="1:17">
      <c r="A110" t="s">
        <v>27</v>
      </c>
      <c r="B110" t="s">
        <v>28</v>
      </c>
      <c r="C110">
        <v>61426.04</v>
      </c>
      <c r="D110">
        <v>8966</v>
      </c>
      <c r="E110">
        <v>0.17299999999999999</v>
      </c>
      <c r="F110">
        <v>22</v>
      </c>
      <c r="G110">
        <v>0.76400000000000001</v>
      </c>
      <c r="H110">
        <v>1.05</v>
      </c>
      <c r="I110">
        <v>0</v>
      </c>
      <c r="J110">
        <v>3.1</v>
      </c>
      <c r="K110">
        <v>778397.97</v>
      </c>
      <c r="L110">
        <v>120044.41</v>
      </c>
      <c r="M110">
        <f t="shared" si="3"/>
        <v>0</v>
      </c>
      <c r="N110">
        <f t="shared" si="4"/>
        <v>0</v>
      </c>
      <c r="O110">
        <f t="shared" si="5"/>
        <v>1</v>
      </c>
      <c r="P110">
        <v>61426.04</v>
      </c>
      <c r="Q110">
        <v>8966</v>
      </c>
    </row>
    <row r="111" spans="1:17">
      <c r="A111" t="s">
        <v>27</v>
      </c>
      <c r="B111" t="s">
        <v>28</v>
      </c>
      <c r="C111">
        <v>80176.34</v>
      </c>
      <c r="D111">
        <v>9489</v>
      </c>
      <c r="E111">
        <v>0.14199999999999999</v>
      </c>
      <c r="F111">
        <v>22</v>
      </c>
      <c r="G111">
        <v>0.94299999999999995</v>
      </c>
      <c r="H111">
        <v>2.67</v>
      </c>
      <c r="I111">
        <v>0</v>
      </c>
      <c r="J111">
        <v>3.5</v>
      </c>
      <c r="K111">
        <v>873380.02</v>
      </c>
      <c r="L111">
        <v>149734.76</v>
      </c>
      <c r="M111">
        <f t="shared" si="3"/>
        <v>0</v>
      </c>
      <c r="N111">
        <f t="shared" si="4"/>
        <v>0</v>
      </c>
      <c r="O111">
        <f t="shared" si="5"/>
        <v>1</v>
      </c>
      <c r="P111">
        <v>80176.34</v>
      </c>
      <c r="Q111">
        <v>9489</v>
      </c>
    </row>
    <row r="112" spans="1:17">
      <c r="A112" t="s">
        <v>27</v>
      </c>
      <c r="B112" t="s">
        <v>28</v>
      </c>
      <c r="C112">
        <v>33605.18</v>
      </c>
      <c r="D112">
        <v>9225</v>
      </c>
      <c r="E112">
        <v>0.159</v>
      </c>
      <c r="F112">
        <v>23</v>
      </c>
      <c r="G112">
        <v>0.88400000000000001</v>
      </c>
      <c r="H112">
        <v>5.91</v>
      </c>
      <c r="I112">
        <v>0</v>
      </c>
      <c r="J112">
        <v>2.8</v>
      </c>
      <c r="K112">
        <v>697287.9</v>
      </c>
      <c r="L112">
        <v>128208.33</v>
      </c>
      <c r="M112">
        <f t="shared" si="3"/>
        <v>0</v>
      </c>
      <c r="N112">
        <f t="shared" si="4"/>
        <v>0</v>
      </c>
      <c r="O112">
        <f t="shared" si="5"/>
        <v>1</v>
      </c>
      <c r="P112">
        <v>33605.18</v>
      </c>
      <c r="Q112">
        <v>9225</v>
      </c>
    </row>
    <row r="113" spans="1:17">
      <c r="A113" t="s">
        <v>27</v>
      </c>
      <c r="B113" t="s">
        <v>28</v>
      </c>
      <c r="C113">
        <v>25990.54</v>
      </c>
      <c r="D113">
        <v>9249</v>
      </c>
      <c r="E113">
        <v>0.13900000000000001</v>
      </c>
      <c r="F113">
        <v>23</v>
      </c>
      <c r="G113">
        <v>0.92500000000000004</v>
      </c>
      <c r="H113">
        <v>6.37</v>
      </c>
      <c r="I113">
        <v>0</v>
      </c>
      <c r="J113">
        <v>3.3</v>
      </c>
      <c r="K113">
        <v>718074.79</v>
      </c>
      <c r="L113">
        <v>115819.87</v>
      </c>
      <c r="M113">
        <f t="shared" si="3"/>
        <v>0</v>
      </c>
      <c r="N113">
        <f t="shared" si="4"/>
        <v>0</v>
      </c>
      <c r="O113">
        <f t="shared" si="5"/>
        <v>1</v>
      </c>
      <c r="P113">
        <v>25990.54</v>
      </c>
      <c r="Q113">
        <v>9249</v>
      </c>
    </row>
    <row r="114" spans="1:17">
      <c r="A114" t="s">
        <v>27</v>
      </c>
      <c r="B114" t="s">
        <v>16</v>
      </c>
      <c r="C114">
        <v>43685.14</v>
      </c>
      <c r="D114">
        <v>7821</v>
      </c>
      <c r="E114">
        <v>0.19</v>
      </c>
      <c r="F114">
        <v>17</v>
      </c>
      <c r="G114">
        <v>0.91</v>
      </c>
      <c r="H114">
        <v>2.4900000000000002</v>
      </c>
      <c r="I114">
        <v>1</v>
      </c>
      <c r="J114">
        <v>4.7</v>
      </c>
      <c r="K114">
        <v>714942.43</v>
      </c>
      <c r="L114">
        <v>94697.71</v>
      </c>
      <c r="M114">
        <f t="shared" si="3"/>
        <v>0</v>
      </c>
      <c r="N114">
        <f t="shared" si="4"/>
        <v>0</v>
      </c>
      <c r="O114">
        <f t="shared" si="5"/>
        <v>0</v>
      </c>
      <c r="P114">
        <v>43685.14</v>
      </c>
      <c r="Q114">
        <v>7821</v>
      </c>
    </row>
    <row r="115" spans="1:17">
      <c r="A115" t="s">
        <v>27</v>
      </c>
      <c r="B115" t="s">
        <v>16</v>
      </c>
      <c r="C115">
        <v>57360.01</v>
      </c>
      <c r="D115">
        <v>8434</v>
      </c>
      <c r="E115">
        <v>0.151</v>
      </c>
      <c r="F115">
        <v>19</v>
      </c>
      <c r="G115">
        <v>0.84099999999999997</v>
      </c>
      <c r="H115">
        <v>1.56</v>
      </c>
      <c r="I115">
        <v>0</v>
      </c>
      <c r="J115">
        <v>4.7</v>
      </c>
      <c r="K115">
        <v>820519.04</v>
      </c>
      <c r="L115">
        <v>99035.88</v>
      </c>
      <c r="M115">
        <f t="shared" si="3"/>
        <v>0</v>
      </c>
      <c r="N115">
        <f t="shared" si="4"/>
        <v>0</v>
      </c>
      <c r="O115">
        <f t="shared" si="5"/>
        <v>0</v>
      </c>
      <c r="P115">
        <v>57360.01</v>
      </c>
      <c r="Q115">
        <v>8434</v>
      </c>
    </row>
    <row r="116" spans="1:17">
      <c r="A116" t="s">
        <v>27</v>
      </c>
      <c r="B116" t="s">
        <v>16</v>
      </c>
      <c r="C116">
        <v>42415.47</v>
      </c>
      <c r="D116">
        <v>8512</v>
      </c>
      <c r="E116">
        <v>0.13300000000000001</v>
      </c>
      <c r="F116">
        <v>18</v>
      </c>
      <c r="G116">
        <v>0.96799999999999997</v>
      </c>
      <c r="H116">
        <v>14.95</v>
      </c>
      <c r="I116">
        <v>0</v>
      </c>
      <c r="J116">
        <v>4.5999999999999996</v>
      </c>
      <c r="K116">
        <v>684217.32</v>
      </c>
      <c r="L116">
        <v>136217.19</v>
      </c>
      <c r="M116">
        <f t="shared" si="3"/>
        <v>0</v>
      </c>
      <c r="N116">
        <f t="shared" si="4"/>
        <v>0</v>
      </c>
      <c r="O116">
        <f t="shared" si="5"/>
        <v>0</v>
      </c>
      <c r="P116">
        <v>42415.47</v>
      </c>
      <c r="Q116">
        <v>8512</v>
      </c>
    </row>
    <row r="117" spans="1:17">
      <c r="A117" t="s">
        <v>27</v>
      </c>
      <c r="B117" t="s">
        <v>16</v>
      </c>
      <c r="C117">
        <v>54968.98</v>
      </c>
      <c r="D117">
        <v>7816</v>
      </c>
      <c r="E117">
        <v>0.23200000000000001</v>
      </c>
      <c r="F117">
        <v>19</v>
      </c>
      <c r="G117">
        <v>0.95700000000000007</v>
      </c>
      <c r="H117">
        <v>7.85</v>
      </c>
      <c r="I117">
        <v>0</v>
      </c>
      <c r="J117">
        <v>4.7</v>
      </c>
      <c r="K117">
        <v>735480.19</v>
      </c>
      <c r="L117">
        <v>88342.11</v>
      </c>
      <c r="M117">
        <f t="shared" si="3"/>
        <v>0</v>
      </c>
      <c r="N117">
        <f t="shared" si="4"/>
        <v>0</v>
      </c>
      <c r="O117">
        <f t="shared" si="5"/>
        <v>0</v>
      </c>
      <c r="P117">
        <v>54968.98</v>
      </c>
      <c r="Q117">
        <v>7816</v>
      </c>
    </row>
    <row r="118" spans="1:17">
      <c r="A118" t="s">
        <v>20</v>
      </c>
      <c r="B118" t="s">
        <v>18</v>
      </c>
      <c r="C118">
        <v>43896.13</v>
      </c>
      <c r="D118">
        <v>3853</v>
      </c>
      <c r="E118">
        <v>8.7999999999999995E-2</v>
      </c>
      <c r="F118">
        <v>13</v>
      </c>
      <c r="G118">
        <v>0.83</v>
      </c>
      <c r="H118">
        <v>6.8</v>
      </c>
      <c r="I118">
        <v>0</v>
      </c>
      <c r="J118">
        <v>4.4000000000000004</v>
      </c>
      <c r="K118">
        <v>509484.81</v>
      </c>
      <c r="L118">
        <v>85742.36</v>
      </c>
      <c r="M118">
        <f t="shared" si="3"/>
        <v>1</v>
      </c>
      <c r="N118">
        <f t="shared" si="4"/>
        <v>0</v>
      </c>
      <c r="O118">
        <f t="shared" si="5"/>
        <v>0</v>
      </c>
      <c r="P118">
        <v>43896.13</v>
      </c>
      <c r="Q118">
        <v>3853</v>
      </c>
    </row>
    <row r="119" spans="1:17">
      <c r="A119" t="s">
        <v>20</v>
      </c>
      <c r="B119" t="s">
        <v>18</v>
      </c>
      <c r="C119">
        <v>83044.17</v>
      </c>
      <c r="D119">
        <v>3694</v>
      </c>
      <c r="E119">
        <v>0</v>
      </c>
      <c r="F119">
        <v>14</v>
      </c>
      <c r="G119">
        <v>0.89400000000000002</v>
      </c>
      <c r="H119">
        <v>2.2000000000000002</v>
      </c>
      <c r="I119">
        <v>0</v>
      </c>
      <c r="J119">
        <v>3.7</v>
      </c>
      <c r="K119">
        <v>654317.09</v>
      </c>
      <c r="L119">
        <v>121446.89</v>
      </c>
      <c r="M119">
        <f t="shared" si="3"/>
        <v>1</v>
      </c>
      <c r="N119">
        <f t="shared" si="4"/>
        <v>0</v>
      </c>
      <c r="O119">
        <f t="shared" si="5"/>
        <v>0</v>
      </c>
      <c r="P119">
        <v>83044.17</v>
      </c>
      <c r="Q119">
        <v>3694</v>
      </c>
    </row>
    <row r="120" spans="1:17">
      <c r="A120" t="s">
        <v>20</v>
      </c>
      <c r="B120" t="s">
        <v>18</v>
      </c>
      <c r="C120">
        <v>48396.13</v>
      </c>
      <c r="D120">
        <v>4423</v>
      </c>
      <c r="E120">
        <v>6.9000000000000006E-2</v>
      </c>
      <c r="F120">
        <v>15</v>
      </c>
      <c r="G120">
        <v>0.85699999999999998</v>
      </c>
      <c r="H120">
        <v>1.88</v>
      </c>
      <c r="I120">
        <v>0</v>
      </c>
      <c r="J120">
        <v>3.9</v>
      </c>
      <c r="K120">
        <v>557487.26</v>
      </c>
      <c r="L120">
        <v>76432.19</v>
      </c>
      <c r="M120">
        <f t="shared" si="3"/>
        <v>1</v>
      </c>
      <c r="N120">
        <f t="shared" si="4"/>
        <v>0</v>
      </c>
      <c r="O120">
        <f t="shared" si="5"/>
        <v>0</v>
      </c>
      <c r="P120">
        <v>48396.13</v>
      </c>
      <c r="Q120">
        <v>4423</v>
      </c>
    </row>
    <row r="121" spans="1:17">
      <c r="A121" t="s">
        <v>20</v>
      </c>
      <c r="B121" t="s">
        <v>18</v>
      </c>
      <c r="C121">
        <v>19063.48</v>
      </c>
      <c r="D121">
        <v>1906</v>
      </c>
      <c r="E121">
        <v>0.216</v>
      </c>
      <c r="F121">
        <v>10</v>
      </c>
      <c r="G121">
        <v>0.97799999999999998</v>
      </c>
      <c r="H121">
        <v>15.79</v>
      </c>
      <c r="I121">
        <v>0</v>
      </c>
      <c r="J121">
        <v>4.4000000000000004</v>
      </c>
      <c r="K121">
        <v>441275.42</v>
      </c>
      <c r="L121">
        <v>58234.87</v>
      </c>
      <c r="M121">
        <f t="shared" si="3"/>
        <v>1</v>
      </c>
      <c r="N121">
        <f t="shared" si="4"/>
        <v>0</v>
      </c>
      <c r="O121">
        <f t="shared" si="5"/>
        <v>0</v>
      </c>
      <c r="P121">
        <v>19063.48</v>
      </c>
      <c r="Q121">
        <v>1906</v>
      </c>
    </row>
    <row r="122" spans="1:17">
      <c r="A122" t="s">
        <v>24</v>
      </c>
      <c r="B122" t="s">
        <v>18</v>
      </c>
      <c r="C122">
        <v>61541.21</v>
      </c>
      <c r="D122">
        <v>10396</v>
      </c>
      <c r="E122">
        <v>0.123</v>
      </c>
      <c r="F122">
        <v>25</v>
      </c>
      <c r="G122">
        <v>0.88099999999999989</v>
      </c>
      <c r="H122">
        <v>2.34</v>
      </c>
      <c r="I122">
        <v>1</v>
      </c>
      <c r="J122">
        <v>4.8</v>
      </c>
      <c r="K122">
        <v>914544.17</v>
      </c>
      <c r="L122">
        <v>79831.73</v>
      </c>
      <c r="M122">
        <f t="shared" si="3"/>
        <v>1</v>
      </c>
      <c r="N122">
        <f t="shared" si="4"/>
        <v>0</v>
      </c>
      <c r="O122">
        <f t="shared" si="5"/>
        <v>0</v>
      </c>
      <c r="P122">
        <v>61541.21</v>
      </c>
      <c r="Q122">
        <v>10396</v>
      </c>
    </row>
    <row r="123" spans="1:17">
      <c r="A123" t="s">
        <v>24</v>
      </c>
      <c r="B123" t="s">
        <v>18</v>
      </c>
      <c r="C123">
        <v>44747</v>
      </c>
      <c r="D123">
        <v>11076</v>
      </c>
      <c r="E123">
        <v>0.17599999999999999</v>
      </c>
      <c r="F123">
        <v>27</v>
      </c>
      <c r="G123">
        <v>0.98299999999999998</v>
      </c>
      <c r="H123">
        <v>0.54</v>
      </c>
      <c r="I123">
        <v>0</v>
      </c>
      <c r="J123">
        <v>4.4000000000000004</v>
      </c>
      <c r="K123">
        <v>842439.67</v>
      </c>
      <c r="L123">
        <v>169983.63</v>
      </c>
      <c r="M123">
        <f t="shared" si="3"/>
        <v>1</v>
      </c>
      <c r="N123">
        <f t="shared" si="4"/>
        <v>0</v>
      </c>
      <c r="O123">
        <f t="shared" si="5"/>
        <v>0</v>
      </c>
      <c r="P123">
        <v>44747</v>
      </c>
      <c r="Q123">
        <v>11076</v>
      </c>
    </row>
    <row r="124" spans="1:17">
      <c r="A124" t="s">
        <v>24</v>
      </c>
      <c r="B124" t="s">
        <v>18</v>
      </c>
      <c r="C124">
        <v>56517.9</v>
      </c>
      <c r="D124">
        <v>9574</v>
      </c>
      <c r="E124">
        <v>0.20399999999999999</v>
      </c>
      <c r="F124">
        <v>20</v>
      </c>
      <c r="G124">
        <v>0.88200000000000001</v>
      </c>
      <c r="H124">
        <v>5.37</v>
      </c>
      <c r="I124">
        <v>1</v>
      </c>
      <c r="J124">
        <v>4.9000000000000004</v>
      </c>
      <c r="K124">
        <v>842157.92</v>
      </c>
      <c r="L124">
        <v>107348.22</v>
      </c>
      <c r="M124">
        <f t="shared" si="3"/>
        <v>1</v>
      </c>
      <c r="N124">
        <f t="shared" si="4"/>
        <v>0</v>
      </c>
      <c r="O124">
        <f t="shared" si="5"/>
        <v>0</v>
      </c>
      <c r="P124">
        <v>56517.9</v>
      </c>
      <c r="Q124">
        <v>9574</v>
      </c>
    </row>
    <row r="125" spans="1:17">
      <c r="A125" t="s">
        <v>24</v>
      </c>
      <c r="B125" t="s">
        <v>18</v>
      </c>
      <c r="C125">
        <v>37828.5</v>
      </c>
      <c r="D125">
        <v>8221</v>
      </c>
      <c r="E125">
        <v>9.6000000000000002E-2</v>
      </c>
      <c r="F125">
        <v>19</v>
      </c>
      <c r="G125">
        <v>0.81499999999999995</v>
      </c>
      <c r="H125">
        <v>3.19</v>
      </c>
      <c r="I125">
        <v>0</v>
      </c>
      <c r="J125">
        <v>4.8</v>
      </c>
      <c r="K125">
        <v>697155.3</v>
      </c>
      <c r="L125">
        <v>136408.54</v>
      </c>
      <c r="M125">
        <f t="shared" si="3"/>
        <v>1</v>
      </c>
      <c r="N125">
        <f t="shared" si="4"/>
        <v>0</v>
      </c>
      <c r="O125">
        <f t="shared" si="5"/>
        <v>0</v>
      </c>
      <c r="P125">
        <v>37828.5</v>
      </c>
      <c r="Q125">
        <v>8221</v>
      </c>
    </row>
    <row r="126" spans="1:17">
      <c r="A126" t="s">
        <v>15</v>
      </c>
      <c r="B126" t="s">
        <v>18</v>
      </c>
      <c r="C126">
        <v>66250.53</v>
      </c>
      <c r="D126">
        <v>10618</v>
      </c>
      <c r="E126">
        <v>0.14199999999999999</v>
      </c>
      <c r="F126">
        <v>27</v>
      </c>
      <c r="G126">
        <v>0.88300000000000001</v>
      </c>
      <c r="H126">
        <v>1.1000000000000001</v>
      </c>
      <c r="I126">
        <v>1</v>
      </c>
      <c r="J126">
        <v>4.4000000000000004</v>
      </c>
      <c r="K126">
        <v>849018.3</v>
      </c>
      <c r="L126">
        <v>149035.13</v>
      </c>
      <c r="M126">
        <f t="shared" si="3"/>
        <v>1</v>
      </c>
      <c r="N126">
        <f t="shared" si="4"/>
        <v>0</v>
      </c>
      <c r="O126">
        <f t="shared" si="5"/>
        <v>0</v>
      </c>
      <c r="P126">
        <v>66250.53</v>
      </c>
      <c r="Q126">
        <v>10618</v>
      </c>
    </row>
    <row r="127" spans="1:17">
      <c r="A127" t="s">
        <v>15</v>
      </c>
      <c r="B127" t="s">
        <v>18</v>
      </c>
      <c r="C127">
        <v>68410.929999999993</v>
      </c>
      <c r="D127">
        <v>10596</v>
      </c>
      <c r="E127">
        <v>0.20699999999999999</v>
      </c>
      <c r="F127">
        <v>25</v>
      </c>
      <c r="G127">
        <v>0.81200000000000006</v>
      </c>
      <c r="H127">
        <v>0.21</v>
      </c>
      <c r="I127">
        <v>0</v>
      </c>
      <c r="J127">
        <v>4</v>
      </c>
      <c r="K127">
        <v>801830.35</v>
      </c>
      <c r="L127">
        <v>114875.32</v>
      </c>
      <c r="M127">
        <f t="shared" si="3"/>
        <v>1</v>
      </c>
      <c r="N127">
        <f t="shared" si="4"/>
        <v>0</v>
      </c>
      <c r="O127">
        <f t="shared" si="5"/>
        <v>0</v>
      </c>
      <c r="P127">
        <v>68410.929999999993</v>
      </c>
      <c r="Q127">
        <v>10596</v>
      </c>
    </row>
    <row r="128" spans="1:17">
      <c r="A128" t="s">
        <v>15</v>
      </c>
      <c r="B128" t="s">
        <v>18</v>
      </c>
      <c r="C128">
        <v>50735.63</v>
      </c>
      <c r="D128">
        <v>9619</v>
      </c>
      <c r="E128">
        <v>0.14399999999999999</v>
      </c>
      <c r="F128">
        <v>19</v>
      </c>
      <c r="G128">
        <v>0.93799999999999994</v>
      </c>
      <c r="H128">
        <v>5.12</v>
      </c>
      <c r="I128">
        <v>1</v>
      </c>
      <c r="J128">
        <v>4.5</v>
      </c>
      <c r="K128">
        <v>725235.28</v>
      </c>
      <c r="L128">
        <v>121632.24</v>
      </c>
      <c r="M128">
        <f t="shared" si="3"/>
        <v>1</v>
      </c>
      <c r="N128">
        <f t="shared" si="4"/>
        <v>0</v>
      </c>
      <c r="O128">
        <f t="shared" si="5"/>
        <v>0</v>
      </c>
      <c r="P128">
        <v>50735.63</v>
      </c>
      <c r="Q128">
        <v>9619</v>
      </c>
    </row>
    <row r="129" spans="1:17">
      <c r="A129" t="s">
        <v>15</v>
      </c>
      <c r="B129" t="s">
        <v>18</v>
      </c>
      <c r="C129">
        <v>66455.8</v>
      </c>
      <c r="D129">
        <v>10836</v>
      </c>
      <c r="E129">
        <v>8.8999999999999996E-2</v>
      </c>
      <c r="F129">
        <v>25</v>
      </c>
      <c r="G129">
        <v>0.85</v>
      </c>
      <c r="H129">
        <v>9.77</v>
      </c>
      <c r="I129">
        <v>0</v>
      </c>
      <c r="J129">
        <v>4.5</v>
      </c>
      <c r="K129">
        <v>811452.72</v>
      </c>
      <c r="L129">
        <v>131325.67000000001</v>
      </c>
      <c r="M129">
        <f t="shared" si="3"/>
        <v>1</v>
      </c>
      <c r="N129">
        <f t="shared" si="4"/>
        <v>0</v>
      </c>
      <c r="O129">
        <f t="shared" si="5"/>
        <v>0</v>
      </c>
      <c r="P129">
        <v>66455.8</v>
      </c>
      <c r="Q129">
        <v>10836</v>
      </c>
    </row>
    <row r="130" spans="1:17">
      <c r="A130" t="s">
        <v>20</v>
      </c>
      <c r="B130" t="s">
        <v>18</v>
      </c>
      <c r="C130">
        <v>70276.28</v>
      </c>
      <c r="D130">
        <v>3043</v>
      </c>
      <c r="E130">
        <v>7.9000000000000001E-2</v>
      </c>
      <c r="F130">
        <v>9</v>
      </c>
      <c r="G130">
        <v>0.879</v>
      </c>
      <c r="H130">
        <v>3.77</v>
      </c>
      <c r="I130">
        <v>0</v>
      </c>
      <c r="J130">
        <v>4.4000000000000004</v>
      </c>
      <c r="K130">
        <v>527300.13</v>
      </c>
      <c r="L130">
        <v>84197.87</v>
      </c>
      <c r="M130">
        <f t="shared" si="3"/>
        <v>1</v>
      </c>
      <c r="N130">
        <f t="shared" si="4"/>
        <v>0</v>
      </c>
      <c r="O130">
        <f t="shared" si="5"/>
        <v>0</v>
      </c>
      <c r="P130">
        <v>70276.28</v>
      </c>
      <c r="Q130">
        <v>3043</v>
      </c>
    </row>
    <row r="131" spans="1:17">
      <c r="A131" t="s">
        <v>20</v>
      </c>
      <c r="B131" t="s">
        <v>18</v>
      </c>
      <c r="C131">
        <v>52285.45</v>
      </c>
      <c r="D131">
        <v>3618</v>
      </c>
      <c r="E131">
        <v>8.5999999999999993E-2</v>
      </c>
      <c r="F131">
        <v>11</v>
      </c>
      <c r="G131">
        <v>0.95599999999999996</v>
      </c>
      <c r="H131">
        <v>5.17</v>
      </c>
      <c r="I131">
        <v>1</v>
      </c>
      <c r="J131">
        <v>4.4000000000000004</v>
      </c>
      <c r="K131">
        <v>593247.25</v>
      </c>
      <c r="L131">
        <v>81240.289999999994</v>
      </c>
      <c r="M131">
        <f t="shared" ref="M131:M194" si="6">IF(B131="High Street", 1, 0)</f>
        <v>1</v>
      </c>
      <c r="N131">
        <f t="shared" ref="N131:N194" si="7">IF(B131="Airport", 1, 0)</f>
        <v>0</v>
      </c>
      <c r="O131">
        <f t="shared" ref="O131:O194" si="8">IF(B131="Mall", 1, 0)</f>
        <v>0</v>
      </c>
      <c r="P131">
        <v>52285.45</v>
      </c>
      <c r="Q131">
        <v>3618</v>
      </c>
    </row>
    <row r="132" spans="1:17">
      <c r="A132" t="s">
        <v>20</v>
      </c>
      <c r="B132" t="s">
        <v>18</v>
      </c>
      <c r="C132">
        <v>70366.759999999995</v>
      </c>
      <c r="D132">
        <v>1963</v>
      </c>
      <c r="E132">
        <v>0.182</v>
      </c>
      <c r="F132">
        <v>8</v>
      </c>
      <c r="G132">
        <v>0.89800000000000002</v>
      </c>
      <c r="H132">
        <v>3.2</v>
      </c>
      <c r="I132">
        <v>0</v>
      </c>
      <c r="J132">
        <v>4.5999999999999996</v>
      </c>
      <c r="K132">
        <v>529075.94999999995</v>
      </c>
      <c r="L132">
        <v>95978.83</v>
      </c>
      <c r="M132">
        <f t="shared" si="6"/>
        <v>1</v>
      </c>
      <c r="N132">
        <f t="shared" si="7"/>
        <v>0</v>
      </c>
      <c r="O132">
        <f t="shared" si="8"/>
        <v>0</v>
      </c>
      <c r="P132">
        <v>70366.759999999995</v>
      </c>
      <c r="Q132">
        <v>1963</v>
      </c>
    </row>
    <row r="133" spans="1:17">
      <c r="A133" t="s">
        <v>24</v>
      </c>
      <c r="B133" t="s">
        <v>16</v>
      </c>
      <c r="C133">
        <v>75109.67</v>
      </c>
      <c r="D133">
        <v>6244</v>
      </c>
      <c r="E133">
        <v>7.9000000000000001E-2</v>
      </c>
      <c r="F133">
        <v>15</v>
      </c>
      <c r="G133">
        <v>0.96299999999999997</v>
      </c>
      <c r="H133">
        <v>7.38</v>
      </c>
      <c r="I133">
        <v>0</v>
      </c>
      <c r="J133">
        <v>3.7</v>
      </c>
      <c r="K133">
        <v>743348.84</v>
      </c>
      <c r="L133">
        <v>104186.09</v>
      </c>
      <c r="M133">
        <f t="shared" si="6"/>
        <v>0</v>
      </c>
      <c r="N133">
        <f t="shared" si="7"/>
        <v>0</v>
      </c>
      <c r="O133">
        <f t="shared" si="8"/>
        <v>0</v>
      </c>
      <c r="P133">
        <v>75109.67</v>
      </c>
      <c r="Q133">
        <v>6244</v>
      </c>
    </row>
    <row r="134" spans="1:17">
      <c r="A134" t="s">
        <v>24</v>
      </c>
      <c r="B134" t="s">
        <v>16</v>
      </c>
      <c r="C134">
        <v>69779</v>
      </c>
      <c r="D134">
        <v>6544</v>
      </c>
      <c r="E134">
        <v>0.152</v>
      </c>
      <c r="F134">
        <v>18</v>
      </c>
      <c r="G134">
        <v>0.90200000000000002</v>
      </c>
      <c r="H134">
        <v>0.85</v>
      </c>
      <c r="I134">
        <v>1</v>
      </c>
      <c r="J134">
        <v>3.3</v>
      </c>
      <c r="K134">
        <v>758827.64</v>
      </c>
      <c r="L134">
        <v>161439.48000000001</v>
      </c>
      <c r="M134">
        <f t="shared" si="6"/>
        <v>0</v>
      </c>
      <c r="N134">
        <f t="shared" si="7"/>
        <v>0</v>
      </c>
      <c r="O134">
        <f t="shared" si="8"/>
        <v>0</v>
      </c>
      <c r="P134">
        <v>69779</v>
      </c>
      <c r="Q134">
        <v>6544</v>
      </c>
    </row>
    <row r="135" spans="1:17">
      <c r="A135" t="s">
        <v>24</v>
      </c>
      <c r="B135" t="s">
        <v>16</v>
      </c>
      <c r="C135">
        <v>44211.95</v>
      </c>
      <c r="D135">
        <v>5465</v>
      </c>
      <c r="E135">
        <v>0.187</v>
      </c>
      <c r="F135">
        <v>12</v>
      </c>
      <c r="G135">
        <v>0.9</v>
      </c>
      <c r="H135">
        <v>2.89</v>
      </c>
      <c r="I135">
        <v>0</v>
      </c>
      <c r="J135">
        <v>3.6</v>
      </c>
      <c r="K135">
        <v>646559.71</v>
      </c>
      <c r="L135">
        <v>97981.75</v>
      </c>
      <c r="M135">
        <f t="shared" si="6"/>
        <v>0</v>
      </c>
      <c r="N135">
        <f t="shared" si="7"/>
        <v>0</v>
      </c>
      <c r="O135">
        <f t="shared" si="8"/>
        <v>0</v>
      </c>
      <c r="P135">
        <v>44211.95</v>
      </c>
      <c r="Q135">
        <v>5465</v>
      </c>
    </row>
    <row r="136" spans="1:17">
      <c r="A136" t="s">
        <v>27</v>
      </c>
      <c r="B136" t="s">
        <v>18</v>
      </c>
      <c r="C136">
        <v>51430.31</v>
      </c>
      <c r="D136">
        <v>6427</v>
      </c>
      <c r="E136">
        <v>0.23400000000000001</v>
      </c>
      <c r="F136">
        <v>14</v>
      </c>
      <c r="G136">
        <v>0.88800000000000001</v>
      </c>
      <c r="H136">
        <v>0.77</v>
      </c>
      <c r="I136">
        <v>0</v>
      </c>
      <c r="J136">
        <v>4.0999999999999996</v>
      </c>
      <c r="K136">
        <v>715890.53</v>
      </c>
      <c r="L136">
        <v>109032.15</v>
      </c>
      <c r="M136">
        <f t="shared" si="6"/>
        <v>1</v>
      </c>
      <c r="N136">
        <f t="shared" si="7"/>
        <v>0</v>
      </c>
      <c r="O136">
        <f t="shared" si="8"/>
        <v>0</v>
      </c>
      <c r="P136">
        <v>51430.31</v>
      </c>
      <c r="Q136">
        <v>6427</v>
      </c>
    </row>
    <row r="137" spans="1:17">
      <c r="A137" t="s">
        <v>27</v>
      </c>
      <c r="B137" t="s">
        <v>18</v>
      </c>
      <c r="C137">
        <v>45706.49</v>
      </c>
      <c r="D137">
        <v>6704</v>
      </c>
      <c r="E137">
        <v>3.7999999999999999E-2</v>
      </c>
      <c r="F137">
        <v>15</v>
      </c>
      <c r="G137">
        <v>0.94200000000000006</v>
      </c>
      <c r="H137">
        <v>2.92</v>
      </c>
      <c r="I137">
        <v>0</v>
      </c>
      <c r="J137">
        <v>4.2</v>
      </c>
      <c r="K137">
        <v>715097.57</v>
      </c>
      <c r="L137">
        <v>151875.85999999999</v>
      </c>
      <c r="M137">
        <f t="shared" si="6"/>
        <v>1</v>
      </c>
      <c r="N137">
        <f t="shared" si="7"/>
        <v>0</v>
      </c>
      <c r="O137">
        <f t="shared" si="8"/>
        <v>0</v>
      </c>
      <c r="P137">
        <v>45706.49</v>
      </c>
      <c r="Q137">
        <v>6704</v>
      </c>
    </row>
    <row r="138" spans="1:17">
      <c r="A138" t="s">
        <v>27</v>
      </c>
      <c r="B138" t="s">
        <v>18</v>
      </c>
      <c r="C138">
        <v>44034.6</v>
      </c>
      <c r="D138">
        <v>5645</v>
      </c>
      <c r="E138">
        <v>6.9000000000000006E-2</v>
      </c>
      <c r="F138">
        <v>18</v>
      </c>
      <c r="G138">
        <v>0.88500000000000001</v>
      </c>
      <c r="H138">
        <v>3.07</v>
      </c>
      <c r="I138">
        <v>0</v>
      </c>
      <c r="J138">
        <v>3.8</v>
      </c>
      <c r="K138">
        <v>682639.28</v>
      </c>
      <c r="L138">
        <v>77557.53</v>
      </c>
      <c r="M138">
        <f t="shared" si="6"/>
        <v>1</v>
      </c>
      <c r="N138">
        <f t="shared" si="7"/>
        <v>0</v>
      </c>
      <c r="O138">
        <f t="shared" si="8"/>
        <v>0</v>
      </c>
      <c r="P138">
        <v>44034.6</v>
      </c>
      <c r="Q138">
        <v>5645</v>
      </c>
    </row>
    <row r="139" spans="1:17">
      <c r="A139" t="s">
        <v>27</v>
      </c>
      <c r="B139" t="s">
        <v>18</v>
      </c>
      <c r="C139">
        <v>50198.12</v>
      </c>
      <c r="D139">
        <v>6089</v>
      </c>
      <c r="E139">
        <v>0.182</v>
      </c>
      <c r="F139">
        <v>19</v>
      </c>
      <c r="G139">
        <v>0.94</v>
      </c>
      <c r="H139">
        <v>9.6999999999999993</v>
      </c>
      <c r="I139">
        <v>0</v>
      </c>
      <c r="J139">
        <v>3.9</v>
      </c>
      <c r="K139">
        <v>695098.51</v>
      </c>
      <c r="L139">
        <v>108192.75</v>
      </c>
      <c r="M139">
        <f t="shared" si="6"/>
        <v>1</v>
      </c>
      <c r="N139">
        <f t="shared" si="7"/>
        <v>0</v>
      </c>
      <c r="O139">
        <f t="shared" si="8"/>
        <v>0</v>
      </c>
      <c r="P139">
        <v>50198.12</v>
      </c>
      <c r="Q139">
        <v>6089</v>
      </c>
    </row>
    <row r="140" spans="1:17">
      <c r="A140" t="s">
        <v>20</v>
      </c>
      <c r="B140" t="s">
        <v>16</v>
      </c>
      <c r="C140">
        <v>70488.2</v>
      </c>
      <c r="D140">
        <v>4312</v>
      </c>
      <c r="E140">
        <v>0.16900000000000001</v>
      </c>
      <c r="F140">
        <v>12</v>
      </c>
      <c r="G140">
        <v>0.90200000000000002</v>
      </c>
      <c r="H140">
        <v>3.71</v>
      </c>
      <c r="I140">
        <v>0</v>
      </c>
      <c r="J140">
        <v>3.2</v>
      </c>
      <c r="K140">
        <v>577732.56999999995</v>
      </c>
      <c r="L140">
        <v>93804.27</v>
      </c>
      <c r="M140">
        <f t="shared" si="6"/>
        <v>0</v>
      </c>
      <c r="N140">
        <f t="shared" si="7"/>
        <v>0</v>
      </c>
      <c r="O140">
        <f t="shared" si="8"/>
        <v>0</v>
      </c>
      <c r="P140">
        <v>70488.2</v>
      </c>
      <c r="Q140">
        <v>4312</v>
      </c>
    </row>
    <row r="141" spans="1:17">
      <c r="A141" t="s">
        <v>20</v>
      </c>
      <c r="B141" t="s">
        <v>16</v>
      </c>
      <c r="C141">
        <v>50909.27</v>
      </c>
      <c r="D141">
        <v>3152</v>
      </c>
      <c r="E141">
        <v>0.06</v>
      </c>
      <c r="F141">
        <v>13</v>
      </c>
      <c r="G141">
        <v>0.93700000000000006</v>
      </c>
      <c r="H141">
        <v>10.79</v>
      </c>
      <c r="I141">
        <v>0</v>
      </c>
      <c r="J141">
        <v>3.5</v>
      </c>
      <c r="K141">
        <v>537058.32999999996</v>
      </c>
      <c r="L141">
        <v>93555.71</v>
      </c>
      <c r="M141">
        <f t="shared" si="6"/>
        <v>0</v>
      </c>
      <c r="N141">
        <f t="shared" si="7"/>
        <v>0</v>
      </c>
      <c r="O141">
        <f t="shared" si="8"/>
        <v>0</v>
      </c>
      <c r="P141">
        <v>50909.27</v>
      </c>
      <c r="Q141">
        <v>3152</v>
      </c>
    </row>
    <row r="142" spans="1:17">
      <c r="A142" t="s">
        <v>20</v>
      </c>
      <c r="B142" t="s">
        <v>16</v>
      </c>
      <c r="C142">
        <v>53351.7</v>
      </c>
      <c r="D142">
        <v>4259</v>
      </c>
      <c r="E142">
        <v>0.156</v>
      </c>
      <c r="F142">
        <v>15</v>
      </c>
      <c r="G142">
        <v>0.93700000000000006</v>
      </c>
      <c r="H142">
        <v>6.03</v>
      </c>
      <c r="I142">
        <v>0</v>
      </c>
      <c r="J142">
        <v>3.4</v>
      </c>
      <c r="K142">
        <v>601568.87</v>
      </c>
      <c r="L142">
        <v>91634.82</v>
      </c>
      <c r="M142">
        <f t="shared" si="6"/>
        <v>0</v>
      </c>
      <c r="N142">
        <f t="shared" si="7"/>
        <v>0</v>
      </c>
      <c r="O142">
        <f t="shared" si="8"/>
        <v>0</v>
      </c>
      <c r="P142">
        <v>53351.7</v>
      </c>
      <c r="Q142">
        <v>4259</v>
      </c>
    </row>
    <row r="143" spans="1:17">
      <c r="A143" t="s">
        <v>20</v>
      </c>
      <c r="B143" t="s">
        <v>16</v>
      </c>
      <c r="C143">
        <v>60322.400000000001</v>
      </c>
      <c r="D143">
        <v>3350</v>
      </c>
      <c r="E143">
        <v>0.108</v>
      </c>
      <c r="F143">
        <v>12</v>
      </c>
      <c r="G143">
        <v>0.89400000000000002</v>
      </c>
      <c r="H143">
        <v>4.92</v>
      </c>
      <c r="I143">
        <v>0</v>
      </c>
      <c r="J143">
        <v>3.4</v>
      </c>
      <c r="K143">
        <v>570964.84</v>
      </c>
      <c r="L143">
        <v>81331.070000000007</v>
      </c>
      <c r="M143">
        <f t="shared" si="6"/>
        <v>0</v>
      </c>
      <c r="N143">
        <f t="shared" si="7"/>
        <v>0</v>
      </c>
      <c r="O143">
        <f t="shared" si="8"/>
        <v>0</v>
      </c>
      <c r="P143">
        <v>60322.400000000001</v>
      </c>
      <c r="Q143">
        <v>3350</v>
      </c>
    </row>
    <row r="144" spans="1:17">
      <c r="A144" t="s">
        <v>24</v>
      </c>
      <c r="B144" t="s">
        <v>28</v>
      </c>
      <c r="C144">
        <v>51575.68</v>
      </c>
      <c r="D144">
        <v>5329</v>
      </c>
      <c r="E144">
        <v>4.7E-2</v>
      </c>
      <c r="F144">
        <v>17</v>
      </c>
      <c r="G144">
        <v>0.88099999999999989</v>
      </c>
      <c r="H144">
        <v>19.78</v>
      </c>
      <c r="I144">
        <v>0</v>
      </c>
      <c r="J144">
        <v>3.8</v>
      </c>
      <c r="K144">
        <v>614024.91</v>
      </c>
      <c r="L144">
        <v>84828.93</v>
      </c>
      <c r="M144">
        <f t="shared" si="6"/>
        <v>0</v>
      </c>
      <c r="N144">
        <f t="shared" si="7"/>
        <v>0</v>
      </c>
      <c r="O144">
        <f t="shared" si="8"/>
        <v>1</v>
      </c>
      <c r="P144">
        <v>51575.68</v>
      </c>
      <c r="Q144">
        <v>5329</v>
      </c>
    </row>
    <row r="145" spans="1:17">
      <c r="A145" t="s">
        <v>24</v>
      </c>
      <c r="B145" t="s">
        <v>28</v>
      </c>
      <c r="C145">
        <v>43319.94</v>
      </c>
      <c r="D145">
        <v>6551</v>
      </c>
      <c r="E145">
        <v>4.3999999999999997E-2</v>
      </c>
      <c r="F145">
        <v>13</v>
      </c>
      <c r="G145">
        <v>0.99</v>
      </c>
      <c r="H145">
        <v>5.45</v>
      </c>
      <c r="I145">
        <v>0</v>
      </c>
      <c r="J145">
        <v>4.0999999999999996</v>
      </c>
      <c r="K145">
        <v>712868.35</v>
      </c>
      <c r="L145">
        <v>133650.51</v>
      </c>
      <c r="M145">
        <f t="shared" si="6"/>
        <v>0</v>
      </c>
      <c r="N145">
        <f t="shared" si="7"/>
        <v>0</v>
      </c>
      <c r="O145">
        <f t="shared" si="8"/>
        <v>1</v>
      </c>
      <c r="P145">
        <v>43319.94</v>
      </c>
      <c r="Q145">
        <v>6551</v>
      </c>
    </row>
    <row r="146" spans="1:17">
      <c r="A146" t="s">
        <v>24</v>
      </c>
      <c r="B146" t="s">
        <v>28</v>
      </c>
      <c r="C146">
        <v>47093.55</v>
      </c>
      <c r="D146">
        <v>5550</v>
      </c>
      <c r="E146">
        <v>0.1</v>
      </c>
      <c r="F146">
        <v>12</v>
      </c>
      <c r="G146">
        <v>0.95</v>
      </c>
      <c r="H146">
        <v>2.33</v>
      </c>
      <c r="I146">
        <v>1</v>
      </c>
      <c r="J146">
        <v>3.7</v>
      </c>
      <c r="K146">
        <v>696744.15</v>
      </c>
      <c r="L146">
        <v>152230.09</v>
      </c>
      <c r="M146">
        <f t="shared" si="6"/>
        <v>0</v>
      </c>
      <c r="N146">
        <f t="shared" si="7"/>
        <v>0</v>
      </c>
      <c r="O146">
        <f t="shared" si="8"/>
        <v>1</v>
      </c>
      <c r="P146">
        <v>47093.55</v>
      </c>
      <c r="Q146">
        <v>5550</v>
      </c>
    </row>
    <row r="147" spans="1:17">
      <c r="A147" t="s">
        <v>24</v>
      </c>
      <c r="B147" t="s">
        <v>28</v>
      </c>
      <c r="C147">
        <v>71855.09</v>
      </c>
      <c r="D147">
        <v>5911</v>
      </c>
      <c r="E147">
        <v>0.19700000000000001</v>
      </c>
      <c r="F147">
        <v>15</v>
      </c>
      <c r="G147">
        <v>0.94299999999999995</v>
      </c>
      <c r="H147">
        <v>3.55</v>
      </c>
      <c r="I147">
        <v>0</v>
      </c>
      <c r="J147">
        <v>4.0999999999999996</v>
      </c>
      <c r="K147">
        <v>725847.99</v>
      </c>
      <c r="L147">
        <v>122698.73</v>
      </c>
      <c r="M147">
        <f t="shared" si="6"/>
        <v>0</v>
      </c>
      <c r="N147">
        <f t="shared" si="7"/>
        <v>0</v>
      </c>
      <c r="O147">
        <f t="shared" si="8"/>
        <v>1</v>
      </c>
      <c r="P147">
        <v>71855.09</v>
      </c>
      <c r="Q147">
        <v>5911</v>
      </c>
    </row>
    <row r="148" spans="1:17">
      <c r="A148" t="s">
        <v>15</v>
      </c>
      <c r="B148" t="s">
        <v>18</v>
      </c>
      <c r="C148">
        <v>75645.23</v>
      </c>
      <c r="D148">
        <v>9674</v>
      </c>
      <c r="E148">
        <v>0.23400000000000001</v>
      </c>
      <c r="F148">
        <v>21</v>
      </c>
      <c r="G148">
        <v>0.87400000000000011</v>
      </c>
      <c r="H148">
        <v>0.2</v>
      </c>
      <c r="I148">
        <v>0</v>
      </c>
      <c r="J148">
        <v>4.5</v>
      </c>
      <c r="K148">
        <v>785028.25</v>
      </c>
      <c r="L148">
        <v>110726.44</v>
      </c>
      <c r="M148">
        <f t="shared" si="6"/>
        <v>1</v>
      </c>
      <c r="N148">
        <f t="shared" si="7"/>
        <v>0</v>
      </c>
      <c r="O148">
        <f t="shared" si="8"/>
        <v>0</v>
      </c>
      <c r="P148">
        <v>75645.23</v>
      </c>
      <c r="Q148">
        <v>9674</v>
      </c>
    </row>
    <row r="149" spans="1:17">
      <c r="A149" t="s">
        <v>15</v>
      </c>
      <c r="B149" t="s">
        <v>18</v>
      </c>
      <c r="C149">
        <v>64374.75</v>
      </c>
      <c r="D149">
        <v>6740</v>
      </c>
      <c r="E149">
        <v>0.16900000000000001</v>
      </c>
      <c r="F149">
        <v>18</v>
      </c>
      <c r="G149">
        <v>0.87</v>
      </c>
      <c r="H149">
        <v>2.09</v>
      </c>
      <c r="I149">
        <v>0</v>
      </c>
      <c r="J149">
        <v>4.2</v>
      </c>
      <c r="K149">
        <v>698492.67</v>
      </c>
      <c r="L149">
        <v>117319.32</v>
      </c>
      <c r="M149">
        <f t="shared" si="6"/>
        <v>1</v>
      </c>
      <c r="N149">
        <f t="shared" si="7"/>
        <v>0</v>
      </c>
      <c r="O149">
        <f t="shared" si="8"/>
        <v>0</v>
      </c>
      <c r="P149">
        <v>64374.75</v>
      </c>
      <c r="Q149">
        <v>6740</v>
      </c>
    </row>
    <row r="150" spans="1:17">
      <c r="A150" t="s">
        <v>15</v>
      </c>
      <c r="B150" t="s">
        <v>18</v>
      </c>
      <c r="C150">
        <v>61433.84</v>
      </c>
      <c r="D150">
        <v>7745</v>
      </c>
      <c r="E150">
        <v>0.18</v>
      </c>
      <c r="F150">
        <v>16</v>
      </c>
      <c r="G150">
        <v>0.90500000000000003</v>
      </c>
      <c r="H150">
        <v>2.2599999999999998</v>
      </c>
      <c r="I150">
        <v>0</v>
      </c>
      <c r="J150">
        <v>4.2</v>
      </c>
      <c r="K150">
        <v>685830.24</v>
      </c>
      <c r="L150">
        <v>128736.18</v>
      </c>
      <c r="M150">
        <f t="shared" si="6"/>
        <v>1</v>
      </c>
      <c r="N150">
        <f t="shared" si="7"/>
        <v>0</v>
      </c>
      <c r="O150">
        <f t="shared" si="8"/>
        <v>0</v>
      </c>
      <c r="P150">
        <v>61433.84</v>
      </c>
      <c r="Q150">
        <v>7745</v>
      </c>
    </row>
    <row r="151" spans="1:17">
      <c r="A151" t="s">
        <v>15</v>
      </c>
      <c r="B151" t="s">
        <v>18</v>
      </c>
      <c r="C151">
        <v>42698.14</v>
      </c>
      <c r="D151">
        <v>7693</v>
      </c>
      <c r="E151">
        <v>0.187</v>
      </c>
      <c r="F151">
        <v>19</v>
      </c>
      <c r="G151">
        <v>0.90099999999999991</v>
      </c>
      <c r="H151">
        <v>0.44</v>
      </c>
      <c r="I151">
        <v>0</v>
      </c>
      <c r="J151">
        <v>4.4000000000000004</v>
      </c>
      <c r="K151">
        <v>702318.94</v>
      </c>
      <c r="L151">
        <v>112829.29</v>
      </c>
      <c r="M151">
        <f t="shared" si="6"/>
        <v>1</v>
      </c>
      <c r="N151">
        <f t="shared" si="7"/>
        <v>0</v>
      </c>
      <c r="O151">
        <f t="shared" si="8"/>
        <v>0</v>
      </c>
      <c r="P151">
        <v>42698.14</v>
      </c>
      <c r="Q151">
        <v>7693</v>
      </c>
    </row>
    <row r="152" spans="1:17">
      <c r="A152" t="s">
        <v>20</v>
      </c>
      <c r="B152" t="s">
        <v>28</v>
      </c>
      <c r="C152">
        <v>86883.31</v>
      </c>
      <c r="D152">
        <v>6424</v>
      </c>
      <c r="E152">
        <v>5.7000000000000002E-2</v>
      </c>
      <c r="F152">
        <v>19</v>
      </c>
      <c r="G152">
        <v>0.85199999999999998</v>
      </c>
      <c r="H152">
        <v>3.08</v>
      </c>
      <c r="I152">
        <v>0</v>
      </c>
      <c r="J152">
        <v>3.9</v>
      </c>
      <c r="K152">
        <v>700078.32</v>
      </c>
      <c r="L152">
        <v>123707.58</v>
      </c>
      <c r="M152">
        <f t="shared" si="6"/>
        <v>0</v>
      </c>
      <c r="N152">
        <f t="shared" si="7"/>
        <v>0</v>
      </c>
      <c r="O152">
        <f t="shared" si="8"/>
        <v>1</v>
      </c>
      <c r="P152">
        <v>86883.31</v>
      </c>
      <c r="Q152">
        <v>6424</v>
      </c>
    </row>
    <row r="153" spans="1:17">
      <c r="A153" t="s">
        <v>20</v>
      </c>
      <c r="B153" t="s">
        <v>28</v>
      </c>
      <c r="C153">
        <v>41863.08</v>
      </c>
      <c r="D153">
        <v>5400</v>
      </c>
      <c r="E153">
        <v>0.114</v>
      </c>
      <c r="F153">
        <v>11</v>
      </c>
      <c r="G153">
        <v>0.91599999999999993</v>
      </c>
      <c r="H153">
        <v>7.99</v>
      </c>
      <c r="I153">
        <v>0</v>
      </c>
      <c r="J153">
        <v>3</v>
      </c>
      <c r="K153">
        <v>602002.31999999995</v>
      </c>
      <c r="L153">
        <v>110453.28</v>
      </c>
      <c r="M153">
        <f t="shared" si="6"/>
        <v>0</v>
      </c>
      <c r="N153">
        <f t="shared" si="7"/>
        <v>0</v>
      </c>
      <c r="O153">
        <f t="shared" si="8"/>
        <v>1</v>
      </c>
      <c r="P153">
        <v>41863.08</v>
      </c>
      <c r="Q153">
        <v>5400</v>
      </c>
    </row>
    <row r="154" spans="1:17">
      <c r="A154" t="s">
        <v>20</v>
      </c>
      <c r="B154" t="s">
        <v>28</v>
      </c>
      <c r="C154">
        <v>56918.16</v>
      </c>
      <c r="D154">
        <v>7015</v>
      </c>
      <c r="E154">
        <v>0.158</v>
      </c>
      <c r="F154">
        <v>18</v>
      </c>
      <c r="G154">
        <v>0.74199999999999999</v>
      </c>
      <c r="H154">
        <v>0.2</v>
      </c>
      <c r="I154">
        <v>0</v>
      </c>
      <c r="J154">
        <v>3.4</v>
      </c>
      <c r="K154">
        <v>724216.07</v>
      </c>
      <c r="L154">
        <v>100627.56</v>
      </c>
      <c r="M154">
        <f t="shared" si="6"/>
        <v>0</v>
      </c>
      <c r="N154">
        <f t="shared" si="7"/>
        <v>0</v>
      </c>
      <c r="O154">
        <f t="shared" si="8"/>
        <v>1</v>
      </c>
      <c r="P154">
        <v>56918.16</v>
      </c>
      <c r="Q154">
        <v>7015</v>
      </c>
    </row>
    <row r="155" spans="1:17">
      <c r="A155" t="s">
        <v>20</v>
      </c>
      <c r="B155" t="s">
        <v>28</v>
      </c>
      <c r="C155">
        <v>23254.57</v>
      </c>
      <c r="D155">
        <v>3847</v>
      </c>
      <c r="E155">
        <v>0.159</v>
      </c>
      <c r="F155">
        <v>12</v>
      </c>
      <c r="G155">
        <v>0.93</v>
      </c>
      <c r="H155">
        <v>5.46</v>
      </c>
      <c r="I155">
        <v>0</v>
      </c>
      <c r="J155">
        <v>3.3</v>
      </c>
      <c r="K155">
        <v>620973.03</v>
      </c>
      <c r="L155">
        <v>72303.850000000006</v>
      </c>
      <c r="M155">
        <f t="shared" si="6"/>
        <v>0</v>
      </c>
      <c r="N155">
        <f t="shared" si="7"/>
        <v>0</v>
      </c>
      <c r="O155">
        <f t="shared" si="8"/>
        <v>1</v>
      </c>
      <c r="P155">
        <v>23254.57</v>
      </c>
      <c r="Q155">
        <v>3847</v>
      </c>
    </row>
    <row r="156" spans="1:17">
      <c r="A156" t="s">
        <v>24</v>
      </c>
      <c r="B156" t="s">
        <v>18</v>
      </c>
      <c r="C156">
        <v>41443.410000000003</v>
      </c>
      <c r="D156">
        <v>7455</v>
      </c>
      <c r="E156">
        <v>0.17499999999999999</v>
      </c>
      <c r="F156">
        <v>16</v>
      </c>
      <c r="G156">
        <v>0.90099999999999991</v>
      </c>
      <c r="H156">
        <v>4.05</v>
      </c>
      <c r="I156">
        <v>0</v>
      </c>
      <c r="J156">
        <v>4</v>
      </c>
      <c r="K156">
        <v>650480.06000000006</v>
      </c>
      <c r="L156">
        <v>109012.07</v>
      </c>
      <c r="M156">
        <f t="shared" si="6"/>
        <v>1</v>
      </c>
      <c r="N156">
        <f t="shared" si="7"/>
        <v>0</v>
      </c>
      <c r="O156">
        <f t="shared" si="8"/>
        <v>0</v>
      </c>
      <c r="P156">
        <v>41443.410000000003</v>
      </c>
      <c r="Q156">
        <v>7455</v>
      </c>
    </row>
    <row r="157" spans="1:17">
      <c r="A157" t="s">
        <v>24</v>
      </c>
      <c r="B157" t="s">
        <v>18</v>
      </c>
      <c r="C157">
        <v>48438.85</v>
      </c>
      <c r="D157">
        <v>6992</v>
      </c>
      <c r="E157">
        <v>3.4000000000000002E-2</v>
      </c>
      <c r="F157">
        <v>20</v>
      </c>
      <c r="G157">
        <v>0.91</v>
      </c>
      <c r="H157">
        <v>4.3600000000000003</v>
      </c>
      <c r="I157">
        <v>0</v>
      </c>
      <c r="J157">
        <v>4.2</v>
      </c>
      <c r="K157">
        <v>778298.88</v>
      </c>
      <c r="L157">
        <v>130076.72</v>
      </c>
      <c r="M157">
        <f t="shared" si="6"/>
        <v>1</v>
      </c>
      <c r="N157">
        <f t="shared" si="7"/>
        <v>0</v>
      </c>
      <c r="O157">
        <f t="shared" si="8"/>
        <v>0</v>
      </c>
      <c r="P157">
        <v>48438.85</v>
      </c>
      <c r="Q157">
        <v>6992</v>
      </c>
    </row>
    <row r="158" spans="1:17">
      <c r="A158" t="s">
        <v>24</v>
      </c>
      <c r="B158" t="s">
        <v>18</v>
      </c>
      <c r="C158">
        <v>66870.62</v>
      </c>
      <c r="D158">
        <v>6055</v>
      </c>
      <c r="E158">
        <v>7.4999999999999997E-2</v>
      </c>
      <c r="F158">
        <v>19</v>
      </c>
      <c r="G158">
        <v>0.93799999999999994</v>
      </c>
      <c r="H158">
        <v>0.54</v>
      </c>
      <c r="I158">
        <v>0</v>
      </c>
      <c r="J158">
        <v>4.3</v>
      </c>
      <c r="K158">
        <v>692008.64</v>
      </c>
      <c r="L158">
        <v>116337.87</v>
      </c>
      <c r="M158">
        <f t="shared" si="6"/>
        <v>1</v>
      </c>
      <c r="N158">
        <f t="shared" si="7"/>
        <v>0</v>
      </c>
      <c r="O158">
        <f t="shared" si="8"/>
        <v>0</v>
      </c>
      <c r="P158">
        <v>66870.62</v>
      </c>
      <c r="Q158">
        <v>6055</v>
      </c>
    </row>
    <row r="159" spans="1:17">
      <c r="A159" t="s">
        <v>20</v>
      </c>
      <c r="B159" t="s">
        <v>28</v>
      </c>
      <c r="C159">
        <v>72150.53</v>
      </c>
      <c r="D159">
        <v>9323</v>
      </c>
      <c r="E159">
        <v>0.157</v>
      </c>
      <c r="F159">
        <v>22</v>
      </c>
      <c r="G159">
        <v>0.82900000000000007</v>
      </c>
      <c r="H159">
        <v>11.37</v>
      </c>
      <c r="I159">
        <v>1</v>
      </c>
      <c r="J159">
        <v>4.3</v>
      </c>
      <c r="K159">
        <v>825797.91</v>
      </c>
      <c r="L159">
        <v>130945.24</v>
      </c>
      <c r="M159">
        <f t="shared" si="6"/>
        <v>0</v>
      </c>
      <c r="N159">
        <f t="shared" si="7"/>
        <v>0</v>
      </c>
      <c r="O159">
        <f t="shared" si="8"/>
        <v>1</v>
      </c>
      <c r="P159">
        <v>72150.53</v>
      </c>
      <c r="Q159">
        <v>9323</v>
      </c>
    </row>
    <row r="160" spans="1:17">
      <c r="A160" t="s">
        <v>20</v>
      </c>
      <c r="B160" t="s">
        <v>28</v>
      </c>
      <c r="C160">
        <v>35303.300000000003</v>
      </c>
      <c r="D160">
        <v>8789</v>
      </c>
      <c r="E160">
        <v>0.123</v>
      </c>
      <c r="F160">
        <v>22</v>
      </c>
      <c r="G160">
        <v>0.86099999999999999</v>
      </c>
      <c r="H160">
        <v>9.43</v>
      </c>
      <c r="I160">
        <v>0</v>
      </c>
      <c r="J160">
        <v>4.2</v>
      </c>
      <c r="K160">
        <v>706285.52</v>
      </c>
      <c r="L160">
        <v>138014.72</v>
      </c>
      <c r="M160">
        <f t="shared" si="6"/>
        <v>0</v>
      </c>
      <c r="N160">
        <f t="shared" si="7"/>
        <v>0</v>
      </c>
      <c r="O160">
        <f t="shared" si="8"/>
        <v>1</v>
      </c>
      <c r="P160">
        <v>35303.300000000003</v>
      </c>
      <c r="Q160">
        <v>8789</v>
      </c>
    </row>
    <row r="161" spans="1:17">
      <c r="A161" t="s">
        <v>20</v>
      </c>
      <c r="B161" t="s">
        <v>28</v>
      </c>
      <c r="C161">
        <v>30301.86</v>
      </c>
      <c r="D161">
        <v>6939</v>
      </c>
      <c r="E161">
        <v>0.09</v>
      </c>
      <c r="F161">
        <v>16</v>
      </c>
      <c r="G161">
        <v>0.90300000000000002</v>
      </c>
      <c r="H161">
        <v>3.49</v>
      </c>
      <c r="I161">
        <v>0</v>
      </c>
      <c r="J161">
        <v>4</v>
      </c>
      <c r="K161">
        <v>665534.69999999995</v>
      </c>
      <c r="L161">
        <v>113167.73</v>
      </c>
      <c r="M161">
        <f t="shared" si="6"/>
        <v>0</v>
      </c>
      <c r="N161">
        <f t="shared" si="7"/>
        <v>0</v>
      </c>
      <c r="O161">
        <f t="shared" si="8"/>
        <v>1</v>
      </c>
      <c r="P161">
        <v>30301.86</v>
      </c>
      <c r="Q161">
        <v>6939</v>
      </c>
    </row>
    <row r="162" spans="1:17">
      <c r="A162" t="s">
        <v>20</v>
      </c>
      <c r="B162" t="s">
        <v>28</v>
      </c>
      <c r="C162">
        <v>78432.14</v>
      </c>
      <c r="D162">
        <v>9440</v>
      </c>
      <c r="E162">
        <v>0.126</v>
      </c>
      <c r="F162">
        <v>23</v>
      </c>
      <c r="G162">
        <v>0.89200000000000002</v>
      </c>
      <c r="H162">
        <v>7.86</v>
      </c>
      <c r="I162">
        <v>0</v>
      </c>
      <c r="J162">
        <v>4.0999999999999996</v>
      </c>
      <c r="K162">
        <v>820729.29</v>
      </c>
      <c r="L162">
        <v>159325.47</v>
      </c>
      <c r="M162">
        <f t="shared" si="6"/>
        <v>0</v>
      </c>
      <c r="N162">
        <f t="shared" si="7"/>
        <v>0</v>
      </c>
      <c r="O162">
        <f t="shared" si="8"/>
        <v>1</v>
      </c>
      <c r="P162">
        <v>78432.14</v>
      </c>
      <c r="Q162">
        <v>9440</v>
      </c>
    </row>
    <row r="163" spans="1:17">
      <c r="A163" t="s">
        <v>15</v>
      </c>
      <c r="B163" t="s">
        <v>16</v>
      </c>
      <c r="C163">
        <v>62059.18</v>
      </c>
      <c r="D163">
        <v>9374</v>
      </c>
      <c r="E163">
        <v>0.13600000000000001</v>
      </c>
      <c r="F163">
        <v>25</v>
      </c>
      <c r="G163">
        <v>0.871</v>
      </c>
      <c r="H163">
        <v>12.55</v>
      </c>
      <c r="I163">
        <v>0</v>
      </c>
      <c r="J163">
        <v>4.9000000000000004</v>
      </c>
      <c r="K163">
        <v>739831.73</v>
      </c>
      <c r="L163">
        <v>119490.21</v>
      </c>
      <c r="M163">
        <f t="shared" si="6"/>
        <v>0</v>
      </c>
      <c r="N163">
        <f t="shared" si="7"/>
        <v>0</v>
      </c>
      <c r="O163">
        <f t="shared" si="8"/>
        <v>0</v>
      </c>
      <c r="P163">
        <v>62059.18</v>
      </c>
      <c r="Q163">
        <v>9374</v>
      </c>
    </row>
    <row r="164" spans="1:17">
      <c r="A164" t="s">
        <v>15</v>
      </c>
      <c r="B164" t="s">
        <v>16</v>
      </c>
      <c r="C164">
        <v>32834.480000000003</v>
      </c>
      <c r="D164">
        <v>7576</v>
      </c>
      <c r="E164">
        <v>9.9000000000000005E-2</v>
      </c>
      <c r="F164">
        <v>15</v>
      </c>
      <c r="G164">
        <v>0.84099999999999997</v>
      </c>
      <c r="H164">
        <v>3.48</v>
      </c>
      <c r="I164">
        <v>0</v>
      </c>
      <c r="J164">
        <v>5</v>
      </c>
      <c r="K164">
        <v>593637.14</v>
      </c>
      <c r="L164">
        <v>106648.14</v>
      </c>
      <c r="M164">
        <f t="shared" si="6"/>
        <v>0</v>
      </c>
      <c r="N164">
        <f t="shared" si="7"/>
        <v>0</v>
      </c>
      <c r="O164">
        <f t="shared" si="8"/>
        <v>0</v>
      </c>
      <c r="P164">
        <v>32834.480000000003</v>
      </c>
      <c r="Q164">
        <v>7576</v>
      </c>
    </row>
    <row r="165" spans="1:17">
      <c r="A165" t="s">
        <v>15</v>
      </c>
      <c r="B165" t="s">
        <v>16</v>
      </c>
      <c r="C165">
        <v>50825.08</v>
      </c>
      <c r="D165">
        <v>8949</v>
      </c>
      <c r="E165">
        <v>0.157</v>
      </c>
      <c r="F165">
        <v>21</v>
      </c>
      <c r="G165">
        <v>0.84699999999999998</v>
      </c>
      <c r="H165">
        <v>7.73</v>
      </c>
      <c r="I165">
        <v>0</v>
      </c>
      <c r="J165">
        <v>4.9000000000000004</v>
      </c>
      <c r="K165">
        <v>769702.76</v>
      </c>
      <c r="L165">
        <v>158697</v>
      </c>
      <c r="M165">
        <f t="shared" si="6"/>
        <v>0</v>
      </c>
      <c r="N165">
        <f t="shared" si="7"/>
        <v>0</v>
      </c>
      <c r="O165">
        <f t="shared" si="8"/>
        <v>0</v>
      </c>
      <c r="P165">
        <v>50825.08</v>
      </c>
      <c r="Q165">
        <v>8949</v>
      </c>
    </row>
    <row r="166" spans="1:17">
      <c r="A166" t="s">
        <v>15</v>
      </c>
      <c r="B166" t="s">
        <v>16</v>
      </c>
      <c r="C166">
        <v>36606.51</v>
      </c>
      <c r="D166">
        <v>7671</v>
      </c>
      <c r="E166">
        <v>0.11799999999999999</v>
      </c>
      <c r="F166">
        <v>18</v>
      </c>
      <c r="G166">
        <v>0.89800000000000002</v>
      </c>
      <c r="H166">
        <v>0.25</v>
      </c>
      <c r="I166">
        <v>0</v>
      </c>
      <c r="J166">
        <v>4.4000000000000004</v>
      </c>
      <c r="K166">
        <v>679731.57</v>
      </c>
      <c r="L166">
        <v>121546.42</v>
      </c>
      <c r="M166">
        <f t="shared" si="6"/>
        <v>0</v>
      </c>
      <c r="N166">
        <f t="shared" si="7"/>
        <v>0</v>
      </c>
      <c r="O166">
        <f t="shared" si="8"/>
        <v>0</v>
      </c>
      <c r="P166">
        <v>36606.51</v>
      </c>
      <c r="Q166">
        <v>7671</v>
      </c>
    </row>
    <row r="167" spans="1:17">
      <c r="A167" t="s">
        <v>15</v>
      </c>
      <c r="B167" t="s">
        <v>16</v>
      </c>
      <c r="C167">
        <v>65237.79</v>
      </c>
      <c r="D167">
        <v>8741</v>
      </c>
      <c r="E167">
        <v>0.157</v>
      </c>
      <c r="F167">
        <v>20</v>
      </c>
      <c r="G167">
        <v>0.94400000000000006</v>
      </c>
      <c r="H167">
        <v>6.43</v>
      </c>
      <c r="I167">
        <v>0</v>
      </c>
      <c r="J167">
        <v>3.3</v>
      </c>
      <c r="K167">
        <v>780344.18</v>
      </c>
      <c r="L167">
        <v>118239.09</v>
      </c>
      <c r="M167">
        <f t="shared" si="6"/>
        <v>0</v>
      </c>
      <c r="N167">
        <f t="shared" si="7"/>
        <v>0</v>
      </c>
      <c r="O167">
        <f t="shared" si="8"/>
        <v>0</v>
      </c>
      <c r="P167">
        <v>65237.79</v>
      </c>
      <c r="Q167">
        <v>8741</v>
      </c>
    </row>
    <row r="168" spans="1:17">
      <c r="A168" t="s">
        <v>15</v>
      </c>
      <c r="B168" t="s">
        <v>16</v>
      </c>
      <c r="C168">
        <v>43645.98</v>
      </c>
      <c r="D168">
        <v>9480</v>
      </c>
      <c r="E168">
        <v>0.109</v>
      </c>
      <c r="F168">
        <v>22</v>
      </c>
      <c r="G168">
        <v>0.89</v>
      </c>
      <c r="H168">
        <v>2.11</v>
      </c>
      <c r="I168">
        <v>0</v>
      </c>
      <c r="J168">
        <v>3.1</v>
      </c>
      <c r="K168">
        <v>721364.11</v>
      </c>
      <c r="L168">
        <v>147272.81</v>
      </c>
      <c r="M168">
        <f t="shared" si="6"/>
        <v>0</v>
      </c>
      <c r="N168">
        <f t="shared" si="7"/>
        <v>0</v>
      </c>
      <c r="O168">
        <f t="shared" si="8"/>
        <v>0</v>
      </c>
      <c r="P168">
        <v>43645.98</v>
      </c>
      <c r="Q168">
        <v>9480</v>
      </c>
    </row>
    <row r="169" spans="1:17">
      <c r="A169" t="s">
        <v>15</v>
      </c>
      <c r="B169" t="s">
        <v>16</v>
      </c>
      <c r="C169">
        <v>68040.149999999994</v>
      </c>
      <c r="D169">
        <v>9826</v>
      </c>
      <c r="E169">
        <v>0.125</v>
      </c>
      <c r="F169">
        <v>20</v>
      </c>
      <c r="G169">
        <v>0.83900000000000008</v>
      </c>
      <c r="H169">
        <v>9.1199999999999992</v>
      </c>
      <c r="I169">
        <v>0</v>
      </c>
      <c r="J169">
        <v>3.6</v>
      </c>
      <c r="K169">
        <v>758138.29</v>
      </c>
      <c r="L169">
        <v>132975.26</v>
      </c>
      <c r="M169">
        <f t="shared" si="6"/>
        <v>0</v>
      </c>
      <c r="N169">
        <f t="shared" si="7"/>
        <v>0</v>
      </c>
      <c r="O169">
        <f t="shared" si="8"/>
        <v>0</v>
      </c>
      <c r="P169">
        <v>68040.149999999994</v>
      </c>
      <c r="Q169">
        <v>9826</v>
      </c>
    </row>
    <row r="170" spans="1:17">
      <c r="A170" t="s">
        <v>15</v>
      </c>
      <c r="B170" t="s">
        <v>16</v>
      </c>
      <c r="C170">
        <v>63043.94</v>
      </c>
      <c r="D170">
        <v>10402</v>
      </c>
      <c r="E170">
        <v>0.159</v>
      </c>
      <c r="F170">
        <v>23</v>
      </c>
      <c r="G170">
        <v>0.93900000000000006</v>
      </c>
      <c r="H170">
        <v>2.71</v>
      </c>
      <c r="I170">
        <v>0</v>
      </c>
      <c r="J170">
        <v>3.1</v>
      </c>
      <c r="K170">
        <v>804264</v>
      </c>
      <c r="L170">
        <v>167117.91</v>
      </c>
      <c r="M170">
        <f t="shared" si="6"/>
        <v>0</v>
      </c>
      <c r="N170">
        <f t="shared" si="7"/>
        <v>0</v>
      </c>
      <c r="O170">
        <f t="shared" si="8"/>
        <v>0</v>
      </c>
      <c r="P170">
        <v>63043.94</v>
      </c>
      <c r="Q170">
        <v>10402</v>
      </c>
    </row>
    <row r="171" spans="1:17">
      <c r="A171" t="s">
        <v>27</v>
      </c>
      <c r="B171" t="s">
        <v>21</v>
      </c>
      <c r="C171">
        <v>67494.09</v>
      </c>
      <c r="D171">
        <v>12361</v>
      </c>
      <c r="E171">
        <v>4.5999999999999999E-2</v>
      </c>
      <c r="F171">
        <v>24</v>
      </c>
      <c r="G171">
        <v>0.7659999999999999</v>
      </c>
      <c r="H171">
        <v>3.65</v>
      </c>
      <c r="I171">
        <v>1</v>
      </c>
      <c r="J171">
        <v>3.7</v>
      </c>
      <c r="K171">
        <v>887537.75</v>
      </c>
      <c r="L171">
        <v>160362.92000000001</v>
      </c>
      <c r="M171">
        <f t="shared" si="6"/>
        <v>0</v>
      </c>
      <c r="N171">
        <f t="shared" si="7"/>
        <v>1</v>
      </c>
      <c r="O171">
        <f t="shared" si="8"/>
        <v>0</v>
      </c>
      <c r="P171">
        <v>67494.09</v>
      </c>
      <c r="Q171">
        <v>12361</v>
      </c>
    </row>
    <row r="172" spans="1:17">
      <c r="A172" t="s">
        <v>27</v>
      </c>
      <c r="B172" t="s">
        <v>21</v>
      </c>
      <c r="C172">
        <v>29389.32</v>
      </c>
      <c r="D172">
        <v>7925</v>
      </c>
      <c r="E172">
        <v>0.17699999999999999</v>
      </c>
      <c r="F172">
        <v>21</v>
      </c>
      <c r="G172">
        <v>0.90900000000000003</v>
      </c>
      <c r="H172">
        <v>7.86</v>
      </c>
      <c r="I172">
        <v>0</v>
      </c>
      <c r="J172">
        <v>4</v>
      </c>
      <c r="K172">
        <v>783582</v>
      </c>
      <c r="L172">
        <v>130670.93</v>
      </c>
      <c r="M172">
        <f t="shared" si="6"/>
        <v>0</v>
      </c>
      <c r="N172">
        <f t="shared" si="7"/>
        <v>1</v>
      </c>
      <c r="O172">
        <f t="shared" si="8"/>
        <v>0</v>
      </c>
      <c r="P172">
        <v>29389.32</v>
      </c>
      <c r="Q172">
        <v>7925</v>
      </c>
    </row>
    <row r="173" spans="1:17">
      <c r="A173" t="s">
        <v>27</v>
      </c>
      <c r="B173" t="s">
        <v>21</v>
      </c>
      <c r="C173">
        <v>40535.089999999997</v>
      </c>
      <c r="D173">
        <v>8870</v>
      </c>
      <c r="E173">
        <v>4.1000000000000002E-2</v>
      </c>
      <c r="F173">
        <v>21</v>
      </c>
      <c r="G173">
        <v>0.86599999999999999</v>
      </c>
      <c r="H173">
        <v>0.3</v>
      </c>
      <c r="I173">
        <v>0</v>
      </c>
      <c r="J173">
        <v>4.0999999999999996</v>
      </c>
      <c r="K173">
        <v>781955.52</v>
      </c>
      <c r="L173">
        <v>152578.71</v>
      </c>
      <c r="M173">
        <f t="shared" si="6"/>
        <v>0</v>
      </c>
      <c r="N173">
        <f t="shared" si="7"/>
        <v>1</v>
      </c>
      <c r="O173">
        <f t="shared" si="8"/>
        <v>0</v>
      </c>
      <c r="P173">
        <v>40535.089999999997</v>
      </c>
      <c r="Q173">
        <v>8870</v>
      </c>
    </row>
    <row r="174" spans="1:17">
      <c r="A174" t="s">
        <v>27</v>
      </c>
      <c r="B174" t="s">
        <v>21</v>
      </c>
      <c r="C174">
        <v>74881.56</v>
      </c>
      <c r="D174">
        <v>9999</v>
      </c>
      <c r="E174">
        <v>1.2999999999999999E-2</v>
      </c>
      <c r="F174">
        <v>20</v>
      </c>
      <c r="G174">
        <v>0.89599999999999991</v>
      </c>
      <c r="H174">
        <v>8.44</v>
      </c>
      <c r="I174">
        <v>0</v>
      </c>
      <c r="J174">
        <v>4.0999999999999996</v>
      </c>
      <c r="K174">
        <v>898031.04</v>
      </c>
      <c r="L174">
        <v>138666.5</v>
      </c>
      <c r="M174">
        <f t="shared" si="6"/>
        <v>0</v>
      </c>
      <c r="N174">
        <f t="shared" si="7"/>
        <v>1</v>
      </c>
      <c r="O174">
        <f t="shared" si="8"/>
        <v>0</v>
      </c>
      <c r="P174">
        <v>74881.56</v>
      </c>
      <c r="Q174">
        <v>9999</v>
      </c>
    </row>
    <row r="175" spans="1:17">
      <c r="A175" t="s">
        <v>27</v>
      </c>
      <c r="B175" t="s">
        <v>16</v>
      </c>
      <c r="C175">
        <v>68491.11</v>
      </c>
      <c r="D175">
        <v>11154</v>
      </c>
      <c r="E175">
        <v>1E-3</v>
      </c>
      <c r="F175">
        <v>24</v>
      </c>
      <c r="G175">
        <v>0.89400000000000002</v>
      </c>
      <c r="H175">
        <v>5.27</v>
      </c>
      <c r="I175">
        <v>1</v>
      </c>
      <c r="J175">
        <v>3.9</v>
      </c>
      <c r="K175">
        <v>855341.28</v>
      </c>
      <c r="L175">
        <v>175823.8</v>
      </c>
      <c r="M175">
        <f t="shared" si="6"/>
        <v>0</v>
      </c>
      <c r="N175">
        <f t="shared" si="7"/>
        <v>0</v>
      </c>
      <c r="O175">
        <f t="shared" si="8"/>
        <v>0</v>
      </c>
      <c r="P175">
        <v>68491.11</v>
      </c>
      <c r="Q175">
        <v>11154</v>
      </c>
    </row>
    <row r="176" spans="1:17">
      <c r="A176" t="s">
        <v>27</v>
      </c>
      <c r="B176" t="s">
        <v>16</v>
      </c>
      <c r="C176">
        <v>45209.25</v>
      </c>
      <c r="D176">
        <v>9287</v>
      </c>
      <c r="E176">
        <v>0.14099999999999999</v>
      </c>
      <c r="F176">
        <v>22</v>
      </c>
      <c r="G176">
        <v>0.8640000000000001</v>
      </c>
      <c r="H176">
        <v>13.22</v>
      </c>
      <c r="I176">
        <v>0</v>
      </c>
      <c r="J176">
        <v>3.6</v>
      </c>
      <c r="K176">
        <v>751393.88</v>
      </c>
      <c r="L176">
        <v>91480.320000000007</v>
      </c>
      <c r="M176">
        <f t="shared" si="6"/>
        <v>0</v>
      </c>
      <c r="N176">
        <f t="shared" si="7"/>
        <v>0</v>
      </c>
      <c r="O176">
        <f t="shared" si="8"/>
        <v>0</v>
      </c>
      <c r="P176">
        <v>45209.25</v>
      </c>
      <c r="Q176">
        <v>9287</v>
      </c>
    </row>
    <row r="177" spans="1:17">
      <c r="A177" t="s">
        <v>27</v>
      </c>
      <c r="B177" t="s">
        <v>16</v>
      </c>
      <c r="C177">
        <v>63010.23</v>
      </c>
      <c r="D177">
        <v>9812</v>
      </c>
      <c r="E177">
        <v>0.113</v>
      </c>
      <c r="F177">
        <v>24</v>
      </c>
      <c r="G177">
        <v>0.76800000000000002</v>
      </c>
      <c r="H177">
        <v>1.02</v>
      </c>
      <c r="I177">
        <v>1</v>
      </c>
      <c r="J177">
        <v>3.8</v>
      </c>
      <c r="K177">
        <v>761077.08</v>
      </c>
      <c r="L177">
        <v>113605.93</v>
      </c>
      <c r="M177">
        <f t="shared" si="6"/>
        <v>0</v>
      </c>
      <c r="N177">
        <f t="shared" si="7"/>
        <v>0</v>
      </c>
      <c r="O177">
        <f t="shared" si="8"/>
        <v>0</v>
      </c>
      <c r="P177">
        <v>63010.23</v>
      </c>
      <c r="Q177">
        <v>9812</v>
      </c>
    </row>
    <row r="178" spans="1:17">
      <c r="A178" t="s">
        <v>27</v>
      </c>
      <c r="B178" t="s">
        <v>16</v>
      </c>
      <c r="C178">
        <v>57948.88</v>
      </c>
      <c r="D178">
        <v>10741</v>
      </c>
      <c r="E178">
        <v>7.0000000000000007E-2</v>
      </c>
      <c r="F178">
        <v>25</v>
      </c>
      <c r="G178">
        <v>0.90099999999999991</v>
      </c>
      <c r="H178">
        <v>4.03</v>
      </c>
      <c r="I178">
        <v>0</v>
      </c>
      <c r="J178">
        <v>3.1</v>
      </c>
      <c r="K178">
        <v>819660.59</v>
      </c>
      <c r="L178">
        <v>172699.95</v>
      </c>
      <c r="M178">
        <f t="shared" si="6"/>
        <v>0</v>
      </c>
      <c r="N178">
        <f t="shared" si="7"/>
        <v>0</v>
      </c>
      <c r="O178">
        <f t="shared" si="8"/>
        <v>0</v>
      </c>
      <c r="P178">
        <v>57948.88</v>
      </c>
      <c r="Q178">
        <v>10741</v>
      </c>
    </row>
    <row r="179" spans="1:17">
      <c r="A179" t="s">
        <v>20</v>
      </c>
      <c r="B179" t="s">
        <v>18</v>
      </c>
      <c r="C179">
        <v>71941.62</v>
      </c>
      <c r="D179">
        <v>6084</v>
      </c>
      <c r="E179">
        <v>7.1999999999999995E-2</v>
      </c>
      <c r="F179">
        <v>13</v>
      </c>
      <c r="G179">
        <v>0.93700000000000006</v>
      </c>
      <c r="H179">
        <v>2.34</v>
      </c>
      <c r="I179">
        <v>0</v>
      </c>
      <c r="J179">
        <v>4.4000000000000004</v>
      </c>
      <c r="K179">
        <v>681855.56</v>
      </c>
      <c r="L179">
        <v>117645.61</v>
      </c>
      <c r="M179">
        <f t="shared" si="6"/>
        <v>1</v>
      </c>
      <c r="N179">
        <f t="shared" si="7"/>
        <v>0</v>
      </c>
      <c r="O179">
        <f t="shared" si="8"/>
        <v>0</v>
      </c>
      <c r="P179">
        <v>71941.62</v>
      </c>
      <c r="Q179">
        <v>6084</v>
      </c>
    </row>
    <row r="180" spans="1:17">
      <c r="A180" t="s">
        <v>20</v>
      </c>
      <c r="B180" t="s">
        <v>18</v>
      </c>
      <c r="C180">
        <v>57147.88</v>
      </c>
      <c r="D180">
        <v>5252</v>
      </c>
      <c r="E180">
        <v>0.161</v>
      </c>
      <c r="F180">
        <v>15</v>
      </c>
      <c r="G180">
        <v>0.95499999999999996</v>
      </c>
      <c r="H180">
        <v>8.51</v>
      </c>
      <c r="I180">
        <v>0</v>
      </c>
      <c r="J180">
        <v>4.4000000000000004</v>
      </c>
      <c r="K180">
        <v>678311.17</v>
      </c>
      <c r="L180">
        <v>132029.76000000001</v>
      </c>
      <c r="M180">
        <f t="shared" si="6"/>
        <v>1</v>
      </c>
      <c r="N180">
        <f t="shared" si="7"/>
        <v>0</v>
      </c>
      <c r="O180">
        <f t="shared" si="8"/>
        <v>0</v>
      </c>
      <c r="P180">
        <v>57147.88</v>
      </c>
      <c r="Q180">
        <v>5252</v>
      </c>
    </row>
    <row r="181" spans="1:17">
      <c r="A181" t="s">
        <v>20</v>
      </c>
      <c r="B181" t="s">
        <v>18</v>
      </c>
      <c r="C181">
        <v>48031.74</v>
      </c>
      <c r="D181">
        <v>6516</v>
      </c>
      <c r="E181">
        <v>6.7000000000000004E-2</v>
      </c>
      <c r="F181">
        <v>14</v>
      </c>
      <c r="G181">
        <v>0.99</v>
      </c>
      <c r="H181">
        <v>0.48</v>
      </c>
      <c r="I181">
        <v>1</v>
      </c>
      <c r="J181">
        <v>4.3</v>
      </c>
      <c r="K181">
        <v>765906.95</v>
      </c>
      <c r="L181">
        <v>114005.9</v>
      </c>
      <c r="M181">
        <f t="shared" si="6"/>
        <v>1</v>
      </c>
      <c r="N181">
        <f t="shared" si="7"/>
        <v>0</v>
      </c>
      <c r="O181">
        <f t="shared" si="8"/>
        <v>0</v>
      </c>
      <c r="P181">
        <v>48031.74</v>
      </c>
      <c r="Q181">
        <v>6516</v>
      </c>
    </row>
    <row r="182" spans="1:17">
      <c r="A182" t="s">
        <v>20</v>
      </c>
      <c r="B182" t="s">
        <v>18</v>
      </c>
      <c r="C182">
        <v>72784.800000000003</v>
      </c>
      <c r="D182">
        <v>7932</v>
      </c>
      <c r="E182">
        <v>9.4E-2</v>
      </c>
      <c r="F182">
        <v>20</v>
      </c>
      <c r="G182">
        <v>0.74900000000000011</v>
      </c>
      <c r="H182">
        <v>13.62</v>
      </c>
      <c r="I182">
        <v>0</v>
      </c>
      <c r="J182">
        <v>4.2</v>
      </c>
      <c r="K182">
        <v>712546.38</v>
      </c>
      <c r="L182">
        <v>101480.04</v>
      </c>
      <c r="M182">
        <f t="shared" si="6"/>
        <v>1</v>
      </c>
      <c r="N182">
        <f t="shared" si="7"/>
        <v>0</v>
      </c>
      <c r="O182">
        <f t="shared" si="8"/>
        <v>0</v>
      </c>
      <c r="P182">
        <v>72784.800000000003</v>
      </c>
      <c r="Q182">
        <v>7932</v>
      </c>
    </row>
    <row r="183" spans="1:17">
      <c r="A183" t="s">
        <v>15</v>
      </c>
      <c r="B183" t="s">
        <v>18</v>
      </c>
      <c r="C183">
        <v>71641.899999999994</v>
      </c>
      <c r="D183">
        <v>3506</v>
      </c>
      <c r="E183">
        <v>0</v>
      </c>
      <c r="F183">
        <v>11</v>
      </c>
      <c r="G183">
        <v>0.8640000000000001</v>
      </c>
      <c r="H183">
        <v>7.77</v>
      </c>
      <c r="I183">
        <v>0</v>
      </c>
      <c r="J183">
        <v>4.0999999999999996</v>
      </c>
      <c r="K183">
        <v>625993.82999999996</v>
      </c>
      <c r="L183">
        <v>98960.320000000007</v>
      </c>
      <c r="M183">
        <f t="shared" si="6"/>
        <v>1</v>
      </c>
      <c r="N183">
        <f t="shared" si="7"/>
        <v>0</v>
      </c>
      <c r="O183">
        <f t="shared" si="8"/>
        <v>0</v>
      </c>
      <c r="P183">
        <v>71641.899999999994</v>
      </c>
      <c r="Q183">
        <v>3506</v>
      </c>
    </row>
    <row r="184" spans="1:17">
      <c r="A184" t="s">
        <v>15</v>
      </c>
      <c r="B184" t="s">
        <v>18</v>
      </c>
      <c r="C184">
        <v>55788.61</v>
      </c>
      <c r="D184">
        <v>2312</v>
      </c>
      <c r="E184">
        <v>5.8000000000000003E-2</v>
      </c>
      <c r="F184">
        <v>10</v>
      </c>
      <c r="G184">
        <v>0.91299999999999992</v>
      </c>
      <c r="H184">
        <v>1.99</v>
      </c>
      <c r="I184">
        <v>0</v>
      </c>
      <c r="J184">
        <v>3.8</v>
      </c>
      <c r="K184">
        <v>550962.93000000005</v>
      </c>
      <c r="L184">
        <v>97144.58</v>
      </c>
      <c r="M184">
        <f t="shared" si="6"/>
        <v>1</v>
      </c>
      <c r="N184">
        <f t="shared" si="7"/>
        <v>0</v>
      </c>
      <c r="O184">
        <f t="shared" si="8"/>
        <v>0</v>
      </c>
      <c r="P184">
        <v>55788.61</v>
      </c>
      <c r="Q184">
        <v>2312</v>
      </c>
    </row>
    <row r="185" spans="1:17">
      <c r="A185" t="s">
        <v>15</v>
      </c>
      <c r="B185" t="s">
        <v>18</v>
      </c>
      <c r="C185">
        <v>37705.879999999997</v>
      </c>
      <c r="D185">
        <v>1268</v>
      </c>
      <c r="E185">
        <v>0.25900000000000001</v>
      </c>
      <c r="F185">
        <v>9</v>
      </c>
      <c r="G185">
        <v>0.84099999999999997</v>
      </c>
      <c r="H185">
        <v>4.7699999999999996</v>
      </c>
      <c r="I185">
        <v>0</v>
      </c>
      <c r="J185">
        <v>3.8</v>
      </c>
      <c r="K185">
        <v>443275.59</v>
      </c>
      <c r="L185">
        <v>53544.36</v>
      </c>
      <c r="M185">
        <f t="shared" si="6"/>
        <v>1</v>
      </c>
      <c r="N185">
        <f t="shared" si="7"/>
        <v>0</v>
      </c>
      <c r="O185">
        <f t="shared" si="8"/>
        <v>0</v>
      </c>
      <c r="P185">
        <v>37705.879999999997</v>
      </c>
      <c r="Q185">
        <v>1268</v>
      </c>
    </row>
    <row r="186" spans="1:17">
      <c r="A186" t="s">
        <v>15</v>
      </c>
      <c r="B186" t="s">
        <v>18</v>
      </c>
      <c r="C186">
        <v>54966.18</v>
      </c>
      <c r="D186">
        <v>4423</v>
      </c>
      <c r="E186">
        <v>0.186</v>
      </c>
      <c r="F186">
        <v>13</v>
      </c>
      <c r="G186">
        <v>0.88700000000000001</v>
      </c>
      <c r="H186">
        <v>0.2</v>
      </c>
      <c r="I186">
        <v>0</v>
      </c>
      <c r="J186">
        <v>4.4000000000000004</v>
      </c>
      <c r="K186">
        <v>554012.06999999995</v>
      </c>
      <c r="L186">
        <v>81101.62</v>
      </c>
      <c r="M186">
        <f t="shared" si="6"/>
        <v>1</v>
      </c>
      <c r="N186">
        <f t="shared" si="7"/>
        <v>0</v>
      </c>
      <c r="O186">
        <f t="shared" si="8"/>
        <v>0</v>
      </c>
      <c r="P186">
        <v>54966.18</v>
      </c>
      <c r="Q186">
        <v>4423</v>
      </c>
    </row>
    <row r="187" spans="1:17">
      <c r="A187" t="s">
        <v>27</v>
      </c>
      <c r="B187" t="s">
        <v>16</v>
      </c>
      <c r="C187">
        <v>81796.740000000005</v>
      </c>
      <c r="D187">
        <v>6177</v>
      </c>
      <c r="E187">
        <v>0.16400000000000001</v>
      </c>
      <c r="F187">
        <v>14</v>
      </c>
      <c r="G187">
        <v>0.879</v>
      </c>
      <c r="H187">
        <v>0.53</v>
      </c>
      <c r="I187">
        <v>0</v>
      </c>
      <c r="J187">
        <v>3.2</v>
      </c>
      <c r="K187">
        <v>643428.85</v>
      </c>
      <c r="L187">
        <v>94477.63</v>
      </c>
      <c r="M187">
        <f t="shared" si="6"/>
        <v>0</v>
      </c>
      <c r="N187">
        <f t="shared" si="7"/>
        <v>0</v>
      </c>
      <c r="O187">
        <f t="shared" si="8"/>
        <v>0</v>
      </c>
      <c r="P187">
        <v>81796.740000000005</v>
      </c>
      <c r="Q187">
        <v>6177</v>
      </c>
    </row>
    <row r="188" spans="1:17">
      <c r="A188" t="s">
        <v>27</v>
      </c>
      <c r="B188" t="s">
        <v>16</v>
      </c>
      <c r="C188">
        <v>51133.43</v>
      </c>
      <c r="D188">
        <v>5150</v>
      </c>
      <c r="E188">
        <v>0.15</v>
      </c>
      <c r="F188">
        <v>12</v>
      </c>
      <c r="G188">
        <v>0.88500000000000001</v>
      </c>
      <c r="H188">
        <v>1.54</v>
      </c>
      <c r="I188">
        <v>0</v>
      </c>
      <c r="J188">
        <v>3.2</v>
      </c>
      <c r="K188">
        <v>611924.27</v>
      </c>
      <c r="L188">
        <v>115488.75</v>
      </c>
      <c r="M188">
        <f t="shared" si="6"/>
        <v>0</v>
      </c>
      <c r="N188">
        <f t="shared" si="7"/>
        <v>0</v>
      </c>
      <c r="O188">
        <f t="shared" si="8"/>
        <v>0</v>
      </c>
      <c r="P188">
        <v>51133.43</v>
      </c>
      <c r="Q188">
        <v>5150</v>
      </c>
    </row>
    <row r="189" spans="1:17">
      <c r="A189" t="s">
        <v>27</v>
      </c>
      <c r="B189" t="s">
        <v>16</v>
      </c>
      <c r="C189">
        <v>40220.18</v>
      </c>
      <c r="D189">
        <v>3783</v>
      </c>
      <c r="E189">
        <v>8.8999999999999996E-2</v>
      </c>
      <c r="F189">
        <v>14</v>
      </c>
      <c r="G189">
        <v>0.86599999999999999</v>
      </c>
      <c r="H189">
        <v>3.63</v>
      </c>
      <c r="I189">
        <v>0</v>
      </c>
      <c r="J189">
        <v>3.7</v>
      </c>
      <c r="K189">
        <v>559422.02</v>
      </c>
      <c r="L189">
        <v>73528.740000000005</v>
      </c>
      <c r="M189">
        <f t="shared" si="6"/>
        <v>0</v>
      </c>
      <c r="N189">
        <f t="shared" si="7"/>
        <v>0</v>
      </c>
      <c r="O189">
        <f t="shared" si="8"/>
        <v>0</v>
      </c>
      <c r="P189">
        <v>40220.18</v>
      </c>
      <c r="Q189">
        <v>3783</v>
      </c>
    </row>
    <row r="190" spans="1:17">
      <c r="A190" t="s">
        <v>20</v>
      </c>
      <c r="B190" t="s">
        <v>16</v>
      </c>
      <c r="C190">
        <v>71851.45</v>
      </c>
      <c r="D190">
        <v>4970</v>
      </c>
      <c r="E190">
        <v>9.8000000000000004E-2</v>
      </c>
      <c r="F190">
        <v>11</v>
      </c>
      <c r="G190">
        <v>0.89599999999999991</v>
      </c>
      <c r="H190">
        <v>0.2</v>
      </c>
      <c r="I190">
        <v>0</v>
      </c>
      <c r="J190">
        <v>4.2</v>
      </c>
      <c r="K190">
        <v>691447.43</v>
      </c>
      <c r="L190">
        <v>114077.69</v>
      </c>
      <c r="M190">
        <f t="shared" si="6"/>
        <v>0</v>
      </c>
      <c r="N190">
        <f t="shared" si="7"/>
        <v>0</v>
      </c>
      <c r="O190">
        <f t="shared" si="8"/>
        <v>0</v>
      </c>
      <c r="P190">
        <v>71851.45</v>
      </c>
      <c r="Q190">
        <v>4970</v>
      </c>
    </row>
    <row r="191" spans="1:17">
      <c r="A191" t="s">
        <v>20</v>
      </c>
      <c r="B191" t="s">
        <v>16</v>
      </c>
      <c r="C191">
        <v>54002.83</v>
      </c>
      <c r="D191">
        <v>4366</v>
      </c>
      <c r="E191">
        <v>2.7E-2</v>
      </c>
      <c r="F191">
        <v>15</v>
      </c>
      <c r="G191">
        <v>0.90599999999999992</v>
      </c>
      <c r="H191">
        <v>12.82</v>
      </c>
      <c r="I191">
        <v>0</v>
      </c>
      <c r="J191">
        <v>4.5999999999999996</v>
      </c>
      <c r="K191">
        <v>574066.61</v>
      </c>
      <c r="L191">
        <v>124674.67</v>
      </c>
      <c r="M191">
        <f t="shared" si="6"/>
        <v>0</v>
      </c>
      <c r="N191">
        <f t="shared" si="7"/>
        <v>0</v>
      </c>
      <c r="O191">
        <f t="shared" si="8"/>
        <v>0</v>
      </c>
      <c r="P191">
        <v>54002.83</v>
      </c>
      <c r="Q191">
        <v>4366</v>
      </c>
    </row>
    <row r="192" spans="1:17">
      <c r="A192" t="s">
        <v>20</v>
      </c>
      <c r="B192" t="s">
        <v>16</v>
      </c>
      <c r="C192">
        <v>54479.33</v>
      </c>
      <c r="D192">
        <v>5012</v>
      </c>
      <c r="E192">
        <v>0.28399999999999997</v>
      </c>
      <c r="F192">
        <v>13</v>
      </c>
      <c r="G192">
        <v>0.86</v>
      </c>
      <c r="H192">
        <v>2.2400000000000002</v>
      </c>
      <c r="I192">
        <v>1</v>
      </c>
      <c r="J192">
        <v>4.3</v>
      </c>
      <c r="K192">
        <v>578949.84</v>
      </c>
      <c r="L192">
        <v>80253.649999999994</v>
      </c>
      <c r="M192">
        <f t="shared" si="6"/>
        <v>0</v>
      </c>
      <c r="N192">
        <f t="shared" si="7"/>
        <v>0</v>
      </c>
      <c r="O192">
        <f t="shared" si="8"/>
        <v>0</v>
      </c>
      <c r="P192">
        <v>54479.33</v>
      </c>
      <c r="Q192">
        <v>5012</v>
      </c>
    </row>
    <row r="193" spans="1:17">
      <c r="A193" t="s">
        <v>20</v>
      </c>
      <c r="B193" t="s">
        <v>16</v>
      </c>
      <c r="C193">
        <v>61391.8</v>
      </c>
      <c r="D193">
        <v>5575</v>
      </c>
      <c r="E193">
        <v>0.189</v>
      </c>
      <c r="F193">
        <v>18</v>
      </c>
      <c r="G193">
        <v>0.9</v>
      </c>
      <c r="H193">
        <v>1.8</v>
      </c>
      <c r="I193">
        <v>0</v>
      </c>
      <c r="J193">
        <v>4.8</v>
      </c>
      <c r="K193">
        <v>735786.64</v>
      </c>
      <c r="L193">
        <v>126540.66</v>
      </c>
      <c r="M193">
        <f t="shared" si="6"/>
        <v>0</v>
      </c>
      <c r="N193">
        <f t="shared" si="7"/>
        <v>0</v>
      </c>
      <c r="O193">
        <f t="shared" si="8"/>
        <v>0</v>
      </c>
      <c r="P193">
        <v>61391.8</v>
      </c>
      <c r="Q193">
        <v>5575</v>
      </c>
    </row>
    <row r="194" spans="1:17">
      <c r="A194" t="s">
        <v>15</v>
      </c>
      <c r="B194" t="s">
        <v>21</v>
      </c>
      <c r="C194">
        <v>22312.93</v>
      </c>
      <c r="D194">
        <v>5955</v>
      </c>
      <c r="E194">
        <v>0.123</v>
      </c>
      <c r="F194">
        <v>13</v>
      </c>
      <c r="G194">
        <v>0.84200000000000008</v>
      </c>
      <c r="H194">
        <v>0.41</v>
      </c>
      <c r="I194">
        <v>1</v>
      </c>
      <c r="J194">
        <v>4.5999999999999996</v>
      </c>
      <c r="K194">
        <v>598904.9</v>
      </c>
      <c r="L194">
        <v>72861</v>
      </c>
      <c r="M194">
        <f t="shared" si="6"/>
        <v>0</v>
      </c>
      <c r="N194">
        <f t="shared" si="7"/>
        <v>1</v>
      </c>
      <c r="O194">
        <f t="shared" si="8"/>
        <v>0</v>
      </c>
      <c r="P194">
        <v>22312.93</v>
      </c>
      <c r="Q194">
        <v>5955</v>
      </c>
    </row>
    <row r="195" spans="1:17">
      <c r="A195" t="s">
        <v>15</v>
      </c>
      <c r="B195" t="s">
        <v>21</v>
      </c>
      <c r="C195">
        <v>78111.97</v>
      </c>
      <c r="D195">
        <v>6389</v>
      </c>
      <c r="E195">
        <v>0.15</v>
      </c>
      <c r="F195">
        <v>13</v>
      </c>
      <c r="G195">
        <v>0.83900000000000008</v>
      </c>
      <c r="H195">
        <v>3.05</v>
      </c>
      <c r="I195">
        <v>0</v>
      </c>
      <c r="J195">
        <v>4.8</v>
      </c>
      <c r="K195">
        <v>787715.51</v>
      </c>
      <c r="L195">
        <v>128969.62</v>
      </c>
      <c r="M195">
        <f t="shared" ref="M195:M258" si="9">IF(B195="High Street", 1, 0)</f>
        <v>0</v>
      </c>
      <c r="N195">
        <f t="shared" ref="N195:N258" si="10">IF(B195="Airport", 1, 0)</f>
        <v>1</v>
      </c>
      <c r="O195">
        <f t="shared" ref="O195:O258" si="11">IF(B195="Mall", 1, 0)</f>
        <v>0</v>
      </c>
      <c r="P195">
        <v>78111.97</v>
      </c>
      <c r="Q195">
        <v>6389</v>
      </c>
    </row>
    <row r="196" spans="1:17">
      <c r="A196" t="s">
        <v>15</v>
      </c>
      <c r="B196" t="s">
        <v>21</v>
      </c>
      <c r="C196">
        <v>35203.230000000003</v>
      </c>
      <c r="D196">
        <v>6896</v>
      </c>
      <c r="E196">
        <v>3.2000000000000001E-2</v>
      </c>
      <c r="F196">
        <v>14</v>
      </c>
      <c r="G196">
        <v>0.80799999999999994</v>
      </c>
      <c r="H196">
        <v>8.44</v>
      </c>
      <c r="I196">
        <v>1</v>
      </c>
      <c r="J196">
        <v>5</v>
      </c>
      <c r="K196">
        <v>607084.92000000004</v>
      </c>
      <c r="L196">
        <v>98558.49</v>
      </c>
      <c r="M196">
        <f t="shared" si="9"/>
        <v>0</v>
      </c>
      <c r="N196">
        <f t="shared" si="10"/>
        <v>1</v>
      </c>
      <c r="O196">
        <f t="shared" si="11"/>
        <v>0</v>
      </c>
      <c r="P196">
        <v>35203.230000000003</v>
      </c>
      <c r="Q196">
        <v>6896</v>
      </c>
    </row>
    <row r="197" spans="1:17">
      <c r="A197" t="s">
        <v>15</v>
      </c>
      <c r="B197" t="s">
        <v>21</v>
      </c>
      <c r="C197">
        <v>64104.28</v>
      </c>
      <c r="D197">
        <v>6015</v>
      </c>
      <c r="E197">
        <v>0.127</v>
      </c>
      <c r="F197">
        <v>15</v>
      </c>
      <c r="G197">
        <v>0.88700000000000001</v>
      </c>
      <c r="H197">
        <v>0.78</v>
      </c>
      <c r="I197">
        <v>0</v>
      </c>
      <c r="J197">
        <v>4</v>
      </c>
      <c r="K197">
        <v>650795.49</v>
      </c>
      <c r="L197">
        <v>103035.89</v>
      </c>
      <c r="M197">
        <f t="shared" si="9"/>
        <v>0</v>
      </c>
      <c r="N197">
        <f t="shared" si="10"/>
        <v>1</v>
      </c>
      <c r="O197">
        <f t="shared" si="11"/>
        <v>0</v>
      </c>
      <c r="P197">
        <v>64104.28</v>
      </c>
      <c r="Q197">
        <v>6015</v>
      </c>
    </row>
    <row r="198" spans="1:17">
      <c r="A198" t="s">
        <v>15</v>
      </c>
      <c r="B198" t="s">
        <v>28</v>
      </c>
      <c r="C198">
        <v>92090.14</v>
      </c>
      <c r="D198">
        <v>9476</v>
      </c>
      <c r="E198">
        <v>7.0000000000000007E-2</v>
      </c>
      <c r="F198">
        <v>24</v>
      </c>
      <c r="G198">
        <v>0.94299999999999995</v>
      </c>
      <c r="H198">
        <v>0.87</v>
      </c>
      <c r="I198">
        <v>0</v>
      </c>
      <c r="J198">
        <v>3.7</v>
      </c>
      <c r="K198">
        <v>825060.52</v>
      </c>
      <c r="L198">
        <v>143613.15</v>
      </c>
      <c r="M198">
        <f t="shared" si="9"/>
        <v>0</v>
      </c>
      <c r="N198">
        <f t="shared" si="10"/>
        <v>0</v>
      </c>
      <c r="O198">
        <f t="shared" si="11"/>
        <v>1</v>
      </c>
      <c r="P198">
        <v>92090.14</v>
      </c>
      <c r="Q198">
        <v>9476</v>
      </c>
    </row>
    <row r="199" spans="1:17">
      <c r="A199" t="s">
        <v>15</v>
      </c>
      <c r="B199" t="s">
        <v>28</v>
      </c>
      <c r="C199">
        <v>54300.87</v>
      </c>
      <c r="D199">
        <v>7875</v>
      </c>
      <c r="E199">
        <v>0.107</v>
      </c>
      <c r="F199">
        <v>19</v>
      </c>
      <c r="G199">
        <v>0.94099999999999995</v>
      </c>
      <c r="H199">
        <v>0.95</v>
      </c>
      <c r="I199">
        <v>0</v>
      </c>
      <c r="J199">
        <v>3.7</v>
      </c>
      <c r="K199">
        <v>795464.47</v>
      </c>
      <c r="L199">
        <v>161150.51999999999</v>
      </c>
      <c r="M199">
        <f t="shared" si="9"/>
        <v>0</v>
      </c>
      <c r="N199">
        <f t="shared" si="10"/>
        <v>0</v>
      </c>
      <c r="O199">
        <f t="shared" si="11"/>
        <v>1</v>
      </c>
      <c r="P199">
        <v>54300.87</v>
      </c>
      <c r="Q199">
        <v>7875</v>
      </c>
    </row>
    <row r="200" spans="1:17">
      <c r="A200" t="s">
        <v>15</v>
      </c>
      <c r="B200" t="s">
        <v>28</v>
      </c>
      <c r="C200">
        <v>37983.35</v>
      </c>
      <c r="D200">
        <v>9283</v>
      </c>
      <c r="E200">
        <v>0.14899999999999999</v>
      </c>
      <c r="F200">
        <v>19</v>
      </c>
      <c r="G200">
        <v>0.83200000000000007</v>
      </c>
      <c r="H200">
        <v>3.82</v>
      </c>
      <c r="I200">
        <v>0</v>
      </c>
      <c r="J200">
        <v>3.7</v>
      </c>
      <c r="K200">
        <v>671868.59</v>
      </c>
      <c r="L200">
        <v>71003.28</v>
      </c>
      <c r="M200">
        <f t="shared" si="9"/>
        <v>0</v>
      </c>
      <c r="N200">
        <f t="shared" si="10"/>
        <v>0</v>
      </c>
      <c r="O200">
        <f t="shared" si="11"/>
        <v>1</v>
      </c>
      <c r="P200">
        <v>37983.35</v>
      </c>
      <c r="Q200">
        <v>9283</v>
      </c>
    </row>
    <row r="201" spans="1:17">
      <c r="A201" t="s">
        <v>15</v>
      </c>
      <c r="B201" t="s">
        <v>28</v>
      </c>
      <c r="C201">
        <v>56413.83</v>
      </c>
      <c r="D201">
        <v>8303</v>
      </c>
      <c r="E201">
        <v>0.11600000000000001</v>
      </c>
      <c r="F201">
        <v>18</v>
      </c>
      <c r="G201">
        <v>0.93599999999999994</v>
      </c>
      <c r="H201">
        <v>2.7</v>
      </c>
      <c r="I201">
        <v>0</v>
      </c>
      <c r="J201">
        <v>3.7</v>
      </c>
      <c r="K201">
        <v>675917.63</v>
      </c>
      <c r="L201">
        <v>112564.75</v>
      </c>
      <c r="M201">
        <f t="shared" si="9"/>
        <v>0</v>
      </c>
      <c r="N201">
        <f t="shared" si="10"/>
        <v>0</v>
      </c>
      <c r="O201">
        <f t="shared" si="11"/>
        <v>1</v>
      </c>
      <c r="P201">
        <v>56413.83</v>
      </c>
      <c r="Q201">
        <v>8303</v>
      </c>
    </row>
    <row r="202" spans="1:17">
      <c r="A202" t="s">
        <v>15</v>
      </c>
      <c r="B202" t="s">
        <v>18</v>
      </c>
      <c r="C202">
        <v>63457.19</v>
      </c>
      <c r="D202">
        <v>10125</v>
      </c>
      <c r="E202">
        <v>9.7000000000000003E-2</v>
      </c>
      <c r="F202">
        <v>24</v>
      </c>
      <c r="G202">
        <v>0.87</v>
      </c>
      <c r="H202">
        <v>3.84</v>
      </c>
      <c r="I202">
        <v>1</v>
      </c>
      <c r="J202">
        <v>3.7</v>
      </c>
      <c r="K202">
        <v>810446.53</v>
      </c>
      <c r="L202">
        <v>200575.34</v>
      </c>
      <c r="M202">
        <f t="shared" si="9"/>
        <v>1</v>
      </c>
      <c r="N202">
        <f t="shared" si="10"/>
        <v>0</v>
      </c>
      <c r="O202">
        <f t="shared" si="11"/>
        <v>0</v>
      </c>
      <c r="P202">
        <v>63457.19</v>
      </c>
      <c r="Q202">
        <v>10125</v>
      </c>
    </row>
    <row r="203" spans="1:17">
      <c r="A203" t="s">
        <v>15</v>
      </c>
      <c r="B203" t="s">
        <v>18</v>
      </c>
      <c r="C203">
        <v>62949.7</v>
      </c>
      <c r="D203">
        <v>9458</v>
      </c>
      <c r="E203">
        <v>0.17100000000000001</v>
      </c>
      <c r="F203">
        <v>19</v>
      </c>
      <c r="G203">
        <v>0.84900000000000009</v>
      </c>
      <c r="H203">
        <v>5.09</v>
      </c>
      <c r="I203">
        <v>0</v>
      </c>
      <c r="J203">
        <v>3.3</v>
      </c>
      <c r="K203">
        <v>691288.19</v>
      </c>
      <c r="L203">
        <v>159074.14000000001</v>
      </c>
      <c r="M203">
        <f t="shared" si="9"/>
        <v>1</v>
      </c>
      <c r="N203">
        <f t="shared" si="10"/>
        <v>0</v>
      </c>
      <c r="O203">
        <f t="shared" si="11"/>
        <v>0</v>
      </c>
      <c r="P203">
        <v>62949.7</v>
      </c>
      <c r="Q203">
        <v>9458</v>
      </c>
    </row>
    <row r="204" spans="1:17">
      <c r="A204" t="s">
        <v>15</v>
      </c>
      <c r="B204" t="s">
        <v>18</v>
      </c>
      <c r="C204">
        <v>107970.19</v>
      </c>
      <c r="D204">
        <v>12870</v>
      </c>
      <c r="E204">
        <v>2.9000000000000001E-2</v>
      </c>
      <c r="F204">
        <v>31</v>
      </c>
      <c r="G204">
        <v>0.91700000000000004</v>
      </c>
      <c r="H204">
        <v>3.82</v>
      </c>
      <c r="I204">
        <v>1</v>
      </c>
      <c r="J204">
        <v>3.7</v>
      </c>
      <c r="K204">
        <v>946833.54</v>
      </c>
      <c r="L204">
        <v>184540.31</v>
      </c>
      <c r="M204">
        <f t="shared" si="9"/>
        <v>1</v>
      </c>
      <c r="N204">
        <f t="shared" si="10"/>
        <v>0</v>
      </c>
      <c r="O204">
        <f t="shared" si="11"/>
        <v>0</v>
      </c>
      <c r="P204">
        <v>107970.19</v>
      </c>
      <c r="Q204">
        <v>12870</v>
      </c>
    </row>
    <row r="205" spans="1:17">
      <c r="A205" t="s">
        <v>15</v>
      </c>
      <c r="B205" t="s">
        <v>18</v>
      </c>
      <c r="C205">
        <v>49405.75</v>
      </c>
      <c r="D205">
        <v>9752</v>
      </c>
      <c r="E205">
        <v>9.2999999999999999E-2</v>
      </c>
      <c r="F205">
        <v>21</v>
      </c>
      <c r="G205">
        <v>0.87</v>
      </c>
      <c r="H205">
        <v>12.28</v>
      </c>
      <c r="I205">
        <v>0</v>
      </c>
      <c r="J205">
        <v>4.0999999999999996</v>
      </c>
      <c r="K205">
        <v>761963.23</v>
      </c>
      <c r="L205">
        <v>150113.60999999999</v>
      </c>
      <c r="M205">
        <f t="shared" si="9"/>
        <v>1</v>
      </c>
      <c r="N205">
        <f t="shared" si="10"/>
        <v>0</v>
      </c>
      <c r="O205">
        <f t="shared" si="11"/>
        <v>0</v>
      </c>
      <c r="P205">
        <v>49405.75</v>
      </c>
      <c r="Q205">
        <v>9752</v>
      </c>
    </row>
    <row r="206" spans="1:17">
      <c r="A206" t="s">
        <v>27</v>
      </c>
      <c r="B206" t="s">
        <v>16</v>
      </c>
      <c r="C206">
        <v>50887.46</v>
      </c>
      <c r="D206">
        <v>9505</v>
      </c>
      <c r="E206">
        <v>9.0999999999999998E-2</v>
      </c>
      <c r="F206">
        <v>25</v>
      </c>
      <c r="G206">
        <v>0.89700000000000002</v>
      </c>
      <c r="H206">
        <v>2.8</v>
      </c>
      <c r="I206">
        <v>0</v>
      </c>
      <c r="J206">
        <v>4.3</v>
      </c>
      <c r="K206">
        <v>812152.6</v>
      </c>
      <c r="L206">
        <v>138419.43</v>
      </c>
      <c r="M206">
        <f t="shared" si="9"/>
        <v>0</v>
      </c>
      <c r="N206">
        <f t="shared" si="10"/>
        <v>0</v>
      </c>
      <c r="O206">
        <f t="shared" si="11"/>
        <v>0</v>
      </c>
      <c r="P206">
        <v>50887.46</v>
      </c>
      <c r="Q206">
        <v>9505</v>
      </c>
    </row>
    <row r="207" spans="1:17">
      <c r="A207" t="s">
        <v>27</v>
      </c>
      <c r="B207" t="s">
        <v>16</v>
      </c>
      <c r="C207">
        <v>41819.449999999997</v>
      </c>
      <c r="D207">
        <v>9412</v>
      </c>
      <c r="E207">
        <v>0.15</v>
      </c>
      <c r="F207">
        <v>22</v>
      </c>
      <c r="G207">
        <v>0.91</v>
      </c>
      <c r="H207">
        <v>3.67</v>
      </c>
      <c r="I207">
        <v>0</v>
      </c>
      <c r="J207">
        <v>4.2</v>
      </c>
      <c r="K207">
        <v>804975.5</v>
      </c>
      <c r="L207">
        <v>140054.5</v>
      </c>
      <c r="M207">
        <f t="shared" si="9"/>
        <v>0</v>
      </c>
      <c r="N207">
        <f t="shared" si="10"/>
        <v>0</v>
      </c>
      <c r="O207">
        <f t="shared" si="11"/>
        <v>0</v>
      </c>
      <c r="P207">
        <v>41819.449999999997</v>
      </c>
      <c r="Q207">
        <v>9412</v>
      </c>
    </row>
    <row r="208" spans="1:17">
      <c r="A208" t="s">
        <v>27</v>
      </c>
      <c r="B208" t="s">
        <v>16</v>
      </c>
      <c r="C208">
        <v>35296.54</v>
      </c>
      <c r="D208">
        <v>9644</v>
      </c>
      <c r="E208">
        <v>0</v>
      </c>
      <c r="F208">
        <v>22</v>
      </c>
      <c r="G208">
        <v>0.88</v>
      </c>
      <c r="H208">
        <v>2.81</v>
      </c>
      <c r="I208">
        <v>0</v>
      </c>
      <c r="J208">
        <v>4.7</v>
      </c>
      <c r="K208">
        <v>752321.72</v>
      </c>
      <c r="L208">
        <v>137788.51</v>
      </c>
      <c r="M208">
        <f t="shared" si="9"/>
        <v>0</v>
      </c>
      <c r="N208">
        <f t="shared" si="10"/>
        <v>0</v>
      </c>
      <c r="O208">
        <f t="shared" si="11"/>
        <v>0</v>
      </c>
      <c r="P208">
        <v>35296.54</v>
      </c>
      <c r="Q208">
        <v>9644</v>
      </c>
    </row>
    <row r="209" spans="1:17">
      <c r="A209" t="s">
        <v>27</v>
      </c>
      <c r="B209" t="s">
        <v>16</v>
      </c>
      <c r="C209">
        <v>47391.09</v>
      </c>
      <c r="D209">
        <v>11224</v>
      </c>
      <c r="E209">
        <v>0.14699999999999999</v>
      </c>
      <c r="F209">
        <v>25</v>
      </c>
      <c r="G209">
        <v>0.88400000000000001</v>
      </c>
      <c r="H209">
        <v>2.44</v>
      </c>
      <c r="I209">
        <v>0</v>
      </c>
      <c r="J209">
        <v>4.9000000000000004</v>
      </c>
      <c r="K209">
        <v>836908.24</v>
      </c>
      <c r="L209">
        <v>141090.26</v>
      </c>
      <c r="M209">
        <f t="shared" si="9"/>
        <v>0</v>
      </c>
      <c r="N209">
        <f t="shared" si="10"/>
        <v>0</v>
      </c>
      <c r="O209">
        <f t="shared" si="11"/>
        <v>0</v>
      </c>
      <c r="P209">
        <v>47391.09</v>
      </c>
      <c r="Q209">
        <v>11224</v>
      </c>
    </row>
    <row r="210" spans="1:17">
      <c r="A210" t="s">
        <v>20</v>
      </c>
      <c r="B210" t="s">
        <v>21</v>
      </c>
      <c r="C210">
        <v>69180.539999999994</v>
      </c>
      <c r="D210">
        <v>5394</v>
      </c>
      <c r="E210">
        <v>0.126</v>
      </c>
      <c r="F210">
        <v>12</v>
      </c>
      <c r="G210">
        <v>0.82900000000000007</v>
      </c>
      <c r="H210">
        <v>3.27</v>
      </c>
      <c r="I210">
        <v>0</v>
      </c>
      <c r="J210">
        <v>3.3</v>
      </c>
      <c r="K210">
        <v>674289.1</v>
      </c>
      <c r="L210">
        <v>117773.79</v>
      </c>
      <c r="M210">
        <f t="shared" si="9"/>
        <v>0</v>
      </c>
      <c r="N210">
        <f t="shared" si="10"/>
        <v>1</v>
      </c>
      <c r="O210">
        <f t="shared" si="11"/>
        <v>0</v>
      </c>
      <c r="P210">
        <v>69180.539999999994</v>
      </c>
      <c r="Q210">
        <v>5394</v>
      </c>
    </row>
    <row r="211" spans="1:17">
      <c r="A211" t="s">
        <v>20</v>
      </c>
      <c r="B211" t="s">
        <v>21</v>
      </c>
      <c r="C211">
        <v>33987.33</v>
      </c>
      <c r="D211">
        <v>5014</v>
      </c>
      <c r="E211">
        <v>0.246</v>
      </c>
      <c r="F211">
        <v>17</v>
      </c>
      <c r="G211">
        <v>0.94299999999999995</v>
      </c>
      <c r="H211">
        <v>10.34</v>
      </c>
      <c r="I211">
        <v>0</v>
      </c>
      <c r="J211">
        <v>3.9</v>
      </c>
      <c r="K211">
        <v>622892.42000000004</v>
      </c>
      <c r="L211">
        <v>101032.52</v>
      </c>
      <c r="M211">
        <f t="shared" si="9"/>
        <v>0</v>
      </c>
      <c r="N211">
        <f t="shared" si="10"/>
        <v>1</v>
      </c>
      <c r="O211">
        <f t="shared" si="11"/>
        <v>0</v>
      </c>
      <c r="P211">
        <v>33987.33</v>
      </c>
      <c r="Q211">
        <v>5014</v>
      </c>
    </row>
    <row r="212" spans="1:17">
      <c r="A212" t="s">
        <v>20</v>
      </c>
      <c r="B212" t="s">
        <v>21</v>
      </c>
      <c r="C212">
        <v>58785.33</v>
      </c>
      <c r="D212">
        <v>4467</v>
      </c>
      <c r="E212">
        <v>0.22900000000000001</v>
      </c>
      <c r="F212">
        <v>14</v>
      </c>
      <c r="G212">
        <v>0.90700000000000003</v>
      </c>
      <c r="H212">
        <v>1.92</v>
      </c>
      <c r="I212">
        <v>0</v>
      </c>
      <c r="J212">
        <v>3.7</v>
      </c>
      <c r="K212">
        <v>673348.56</v>
      </c>
      <c r="L212">
        <v>69464.59</v>
      </c>
      <c r="M212">
        <f t="shared" si="9"/>
        <v>0</v>
      </c>
      <c r="N212">
        <f t="shared" si="10"/>
        <v>1</v>
      </c>
      <c r="O212">
        <f t="shared" si="11"/>
        <v>0</v>
      </c>
      <c r="P212">
        <v>58785.33</v>
      </c>
      <c r="Q212">
        <v>4467</v>
      </c>
    </row>
    <row r="213" spans="1:17">
      <c r="A213" t="s">
        <v>20</v>
      </c>
      <c r="B213" t="s">
        <v>21</v>
      </c>
      <c r="C213">
        <v>16451.849999999999</v>
      </c>
      <c r="D213">
        <v>4678</v>
      </c>
      <c r="E213">
        <v>0.13300000000000001</v>
      </c>
      <c r="F213">
        <v>11</v>
      </c>
      <c r="G213">
        <v>0.95900000000000007</v>
      </c>
      <c r="H213">
        <v>3.1</v>
      </c>
      <c r="I213">
        <v>0</v>
      </c>
      <c r="J213">
        <v>3.9</v>
      </c>
      <c r="K213">
        <v>606278.30000000005</v>
      </c>
      <c r="L213">
        <v>102213.26</v>
      </c>
      <c r="M213">
        <f t="shared" si="9"/>
        <v>0</v>
      </c>
      <c r="N213">
        <f t="shared" si="10"/>
        <v>1</v>
      </c>
      <c r="O213">
        <f t="shared" si="11"/>
        <v>0</v>
      </c>
      <c r="P213">
        <v>16451.849999999999</v>
      </c>
      <c r="Q213">
        <v>4678</v>
      </c>
    </row>
    <row r="214" spans="1:17">
      <c r="A214" t="s">
        <v>15</v>
      </c>
      <c r="B214" t="s">
        <v>18</v>
      </c>
      <c r="C214">
        <v>53367.73</v>
      </c>
      <c r="D214">
        <v>7291</v>
      </c>
      <c r="E214">
        <v>0.14599999999999999</v>
      </c>
      <c r="F214">
        <v>18</v>
      </c>
      <c r="G214">
        <v>0.90599999999999992</v>
      </c>
      <c r="H214">
        <v>6.34</v>
      </c>
      <c r="I214">
        <v>1</v>
      </c>
      <c r="J214">
        <v>3.8</v>
      </c>
      <c r="K214">
        <v>712219.81</v>
      </c>
      <c r="L214">
        <v>85906.54</v>
      </c>
      <c r="M214">
        <f t="shared" si="9"/>
        <v>1</v>
      </c>
      <c r="N214">
        <f t="shared" si="10"/>
        <v>0</v>
      </c>
      <c r="O214">
        <f t="shared" si="11"/>
        <v>0</v>
      </c>
      <c r="P214">
        <v>53367.73</v>
      </c>
      <c r="Q214">
        <v>7291</v>
      </c>
    </row>
    <row r="215" spans="1:17">
      <c r="A215" t="s">
        <v>15</v>
      </c>
      <c r="B215" t="s">
        <v>18</v>
      </c>
      <c r="C215">
        <v>27194.639999999999</v>
      </c>
      <c r="D215">
        <v>7404</v>
      </c>
      <c r="E215">
        <v>8.7999999999999995E-2</v>
      </c>
      <c r="F215">
        <v>18</v>
      </c>
      <c r="G215">
        <v>0.90200000000000002</v>
      </c>
      <c r="H215">
        <v>1.2</v>
      </c>
      <c r="I215">
        <v>0</v>
      </c>
      <c r="J215">
        <v>3.4</v>
      </c>
      <c r="K215">
        <v>672670.54</v>
      </c>
      <c r="L215">
        <v>132684.18</v>
      </c>
      <c r="M215">
        <f t="shared" si="9"/>
        <v>1</v>
      </c>
      <c r="N215">
        <f t="shared" si="10"/>
        <v>0</v>
      </c>
      <c r="O215">
        <f t="shared" si="11"/>
        <v>0</v>
      </c>
      <c r="P215">
        <v>27194.639999999999</v>
      </c>
      <c r="Q215">
        <v>7404</v>
      </c>
    </row>
    <row r="216" spans="1:17">
      <c r="A216" t="s">
        <v>15</v>
      </c>
      <c r="B216" t="s">
        <v>18</v>
      </c>
      <c r="C216">
        <v>66962.740000000005</v>
      </c>
      <c r="D216">
        <v>7880</v>
      </c>
      <c r="E216">
        <v>0.11600000000000001</v>
      </c>
      <c r="F216">
        <v>19</v>
      </c>
      <c r="G216">
        <v>0.90400000000000003</v>
      </c>
      <c r="H216">
        <v>4.5</v>
      </c>
      <c r="I216">
        <v>0</v>
      </c>
      <c r="J216">
        <v>3.3</v>
      </c>
      <c r="K216">
        <v>732667.92</v>
      </c>
      <c r="L216">
        <v>128654.46</v>
      </c>
      <c r="M216">
        <f t="shared" si="9"/>
        <v>1</v>
      </c>
      <c r="N216">
        <f t="shared" si="10"/>
        <v>0</v>
      </c>
      <c r="O216">
        <f t="shared" si="11"/>
        <v>0</v>
      </c>
      <c r="P216">
        <v>66962.740000000005</v>
      </c>
      <c r="Q216">
        <v>7880</v>
      </c>
    </row>
    <row r="217" spans="1:17">
      <c r="A217" t="s">
        <v>15</v>
      </c>
      <c r="B217" t="s">
        <v>18</v>
      </c>
      <c r="C217">
        <v>73540.990000000005</v>
      </c>
      <c r="D217">
        <v>8773</v>
      </c>
      <c r="E217">
        <v>3.5000000000000003E-2</v>
      </c>
      <c r="F217">
        <v>21</v>
      </c>
      <c r="G217">
        <v>0.84400000000000008</v>
      </c>
      <c r="H217">
        <v>6.68</v>
      </c>
      <c r="I217">
        <v>0</v>
      </c>
      <c r="J217">
        <v>3.6</v>
      </c>
      <c r="K217">
        <v>723531.4</v>
      </c>
      <c r="L217">
        <v>108794.85</v>
      </c>
      <c r="M217">
        <f t="shared" si="9"/>
        <v>1</v>
      </c>
      <c r="N217">
        <f t="shared" si="10"/>
        <v>0</v>
      </c>
      <c r="O217">
        <f t="shared" si="11"/>
        <v>0</v>
      </c>
      <c r="P217">
        <v>73540.990000000005</v>
      </c>
      <c r="Q217">
        <v>8773</v>
      </c>
    </row>
    <row r="218" spans="1:17">
      <c r="A218" t="s">
        <v>15</v>
      </c>
      <c r="B218" t="s">
        <v>28</v>
      </c>
      <c r="C218">
        <v>68212.289999999994</v>
      </c>
      <c r="D218">
        <v>4713</v>
      </c>
      <c r="E218">
        <v>0.19800000000000001</v>
      </c>
      <c r="F218">
        <v>15</v>
      </c>
      <c r="G218">
        <v>0.82599999999999996</v>
      </c>
      <c r="H218">
        <v>4.07</v>
      </c>
      <c r="I218">
        <v>1</v>
      </c>
      <c r="J218">
        <v>3</v>
      </c>
      <c r="K218">
        <v>641564.6</v>
      </c>
      <c r="L218">
        <v>90468.96</v>
      </c>
      <c r="M218">
        <f t="shared" si="9"/>
        <v>0</v>
      </c>
      <c r="N218">
        <f t="shared" si="10"/>
        <v>0</v>
      </c>
      <c r="O218">
        <f t="shared" si="11"/>
        <v>1</v>
      </c>
      <c r="P218">
        <v>68212.289999999994</v>
      </c>
      <c r="Q218">
        <v>4713</v>
      </c>
    </row>
    <row r="219" spans="1:17">
      <c r="A219" t="s">
        <v>15</v>
      </c>
      <c r="B219" t="s">
        <v>28</v>
      </c>
      <c r="C219">
        <v>57225.98</v>
      </c>
      <c r="D219">
        <v>2842</v>
      </c>
      <c r="E219">
        <v>0.112</v>
      </c>
      <c r="F219">
        <v>10</v>
      </c>
      <c r="G219">
        <v>0.79500000000000004</v>
      </c>
      <c r="H219">
        <v>5.45</v>
      </c>
      <c r="I219">
        <v>0</v>
      </c>
      <c r="J219">
        <v>3.4</v>
      </c>
      <c r="K219">
        <v>536545.49</v>
      </c>
      <c r="L219">
        <v>97917.45</v>
      </c>
      <c r="M219">
        <f t="shared" si="9"/>
        <v>0</v>
      </c>
      <c r="N219">
        <f t="shared" si="10"/>
        <v>0</v>
      </c>
      <c r="O219">
        <f t="shared" si="11"/>
        <v>1</v>
      </c>
      <c r="P219">
        <v>57225.98</v>
      </c>
      <c r="Q219">
        <v>2842</v>
      </c>
    </row>
    <row r="220" spans="1:17">
      <c r="A220" t="s">
        <v>15</v>
      </c>
      <c r="B220" t="s">
        <v>28</v>
      </c>
      <c r="C220">
        <v>42932.02</v>
      </c>
      <c r="D220">
        <v>3872</v>
      </c>
      <c r="E220">
        <v>0.17100000000000001</v>
      </c>
      <c r="F220">
        <v>12</v>
      </c>
      <c r="G220">
        <v>0.83200000000000007</v>
      </c>
      <c r="H220">
        <v>15.58</v>
      </c>
      <c r="I220">
        <v>0</v>
      </c>
      <c r="J220">
        <v>3.3</v>
      </c>
      <c r="K220">
        <v>527681.56000000006</v>
      </c>
      <c r="L220">
        <v>63153.05</v>
      </c>
      <c r="M220">
        <f t="shared" si="9"/>
        <v>0</v>
      </c>
      <c r="N220">
        <f t="shared" si="10"/>
        <v>0</v>
      </c>
      <c r="O220">
        <f t="shared" si="11"/>
        <v>1</v>
      </c>
      <c r="P220">
        <v>42932.02</v>
      </c>
      <c r="Q220">
        <v>3872</v>
      </c>
    </row>
    <row r="221" spans="1:17">
      <c r="A221" t="s">
        <v>15</v>
      </c>
      <c r="B221" t="s">
        <v>18</v>
      </c>
      <c r="C221">
        <v>37324.230000000003</v>
      </c>
      <c r="D221">
        <v>5957</v>
      </c>
      <c r="E221">
        <v>7.0999999999999994E-2</v>
      </c>
      <c r="F221">
        <v>12</v>
      </c>
      <c r="G221">
        <v>0.8590000000000001</v>
      </c>
      <c r="H221">
        <v>0.37</v>
      </c>
      <c r="I221">
        <v>0</v>
      </c>
      <c r="J221">
        <v>3.8</v>
      </c>
      <c r="K221">
        <v>570963.31000000006</v>
      </c>
      <c r="L221">
        <v>87342.25</v>
      </c>
      <c r="M221">
        <f t="shared" si="9"/>
        <v>1</v>
      </c>
      <c r="N221">
        <f t="shared" si="10"/>
        <v>0</v>
      </c>
      <c r="O221">
        <f t="shared" si="11"/>
        <v>0</v>
      </c>
      <c r="P221">
        <v>37324.230000000003</v>
      </c>
      <c r="Q221">
        <v>5957</v>
      </c>
    </row>
    <row r="222" spans="1:17">
      <c r="A222" t="s">
        <v>15</v>
      </c>
      <c r="B222" t="s">
        <v>18</v>
      </c>
      <c r="C222">
        <v>113736</v>
      </c>
      <c r="D222">
        <v>8961</v>
      </c>
      <c r="E222">
        <v>0.20200000000000001</v>
      </c>
      <c r="F222">
        <v>24</v>
      </c>
      <c r="G222">
        <v>0.86199999999999999</v>
      </c>
      <c r="H222">
        <v>21.63</v>
      </c>
      <c r="I222">
        <v>0</v>
      </c>
      <c r="J222">
        <v>4</v>
      </c>
      <c r="K222">
        <v>870937.4</v>
      </c>
      <c r="L222">
        <v>175282.74</v>
      </c>
      <c r="M222">
        <f t="shared" si="9"/>
        <v>1</v>
      </c>
      <c r="N222">
        <f t="shared" si="10"/>
        <v>0</v>
      </c>
      <c r="O222">
        <f t="shared" si="11"/>
        <v>0</v>
      </c>
      <c r="P222">
        <v>113736</v>
      </c>
      <c r="Q222">
        <v>8961</v>
      </c>
    </row>
    <row r="223" spans="1:17">
      <c r="A223" t="s">
        <v>15</v>
      </c>
      <c r="B223" t="s">
        <v>18</v>
      </c>
      <c r="C223">
        <v>33173.949999999997</v>
      </c>
      <c r="D223">
        <v>6545</v>
      </c>
      <c r="E223">
        <v>0.16900000000000001</v>
      </c>
      <c r="F223">
        <v>15</v>
      </c>
      <c r="G223">
        <v>0.84400000000000008</v>
      </c>
      <c r="H223">
        <v>2.48</v>
      </c>
      <c r="I223">
        <v>0</v>
      </c>
      <c r="J223">
        <v>3.9</v>
      </c>
      <c r="K223">
        <v>596969.27</v>
      </c>
      <c r="L223">
        <v>105669.51</v>
      </c>
      <c r="M223">
        <f t="shared" si="9"/>
        <v>1</v>
      </c>
      <c r="N223">
        <f t="shared" si="10"/>
        <v>0</v>
      </c>
      <c r="O223">
        <f t="shared" si="11"/>
        <v>0</v>
      </c>
      <c r="P223">
        <v>33173.949999999997</v>
      </c>
      <c r="Q223">
        <v>6545</v>
      </c>
    </row>
    <row r="224" spans="1:17">
      <c r="A224" t="s">
        <v>27</v>
      </c>
      <c r="B224" t="s">
        <v>16</v>
      </c>
      <c r="C224">
        <v>47241.919999999998</v>
      </c>
      <c r="D224">
        <v>4264</v>
      </c>
      <c r="E224">
        <v>6.9000000000000006E-2</v>
      </c>
      <c r="F224">
        <v>13</v>
      </c>
      <c r="G224">
        <v>0.95299999999999996</v>
      </c>
      <c r="H224">
        <v>0.85</v>
      </c>
      <c r="I224">
        <v>0</v>
      </c>
      <c r="J224">
        <v>4.3</v>
      </c>
      <c r="K224">
        <v>658072.14</v>
      </c>
      <c r="L224">
        <v>110595.89</v>
      </c>
      <c r="M224">
        <f t="shared" si="9"/>
        <v>0</v>
      </c>
      <c r="N224">
        <f t="shared" si="10"/>
        <v>0</v>
      </c>
      <c r="O224">
        <f t="shared" si="11"/>
        <v>0</v>
      </c>
      <c r="P224">
        <v>47241.919999999998</v>
      </c>
      <c r="Q224">
        <v>4264</v>
      </c>
    </row>
    <row r="225" spans="1:17">
      <c r="A225" t="s">
        <v>27</v>
      </c>
      <c r="B225" t="s">
        <v>16</v>
      </c>
      <c r="C225">
        <v>61650.79</v>
      </c>
      <c r="D225">
        <v>5321</v>
      </c>
      <c r="E225">
        <v>0.126</v>
      </c>
      <c r="F225">
        <v>17</v>
      </c>
      <c r="G225">
        <v>0.89200000000000002</v>
      </c>
      <c r="H225">
        <v>2.13</v>
      </c>
      <c r="I225">
        <v>0</v>
      </c>
      <c r="J225">
        <v>4</v>
      </c>
      <c r="K225">
        <v>723305.11</v>
      </c>
      <c r="L225">
        <v>128468.7</v>
      </c>
      <c r="M225">
        <f t="shared" si="9"/>
        <v>0</v>
      </c>
      <c r="N225">
        <f t="shared" si="10"/>
        <v>0</v>
      </c>
      <c r="O225">
        <f t="shared" si="11"/>
        <v>0</v>
      </c>
      <c r="P225">
        <v>61650.79</v>
      </c>
      <c r="Q225">
        <v>5321</v>
      </c>
    </row>
    <row r="226" spans="1:17">
      <c r="A226" t="s">
        <v>27</v>
      </c>
      <c r="B226" t="s">
        <v>16</v>
      </c>
      <c r="C226">
        <v>62582.71</v>
      </c>
      <c r="D226">
        <v>5479</v>
      </c>
      <c r="E226">
        <v>4.8000000000000001E-2</v>
      </c>
      <c r="F226">
        <v>16</v>
      </c>
      <c r="G226">
        <v>0.81200000000000006</v>
      </c>
      <c r="H226">
        <v>1.46</v>
      </c>
      <c r="I226">
        <v>0</v>
      </c>
      <c r="J226">
        <v>4.5</v>
      </c>
      <c r="K226">
        <v>640666.53</v>
      </c>
      <c r="L226">
        <v>134919.16</v>
      </c>
      <c r="M226">
        <f t="shared" si="9"/>
        <v>0</v>
      </c>
      <c r="N226">
        <f t="shared" si="10"/>
        <v>0</v>
      </c>
      <c r="O226">
        <f t="shared" si="11"/>
        <v>0</v>
      </c>
      <c r="P226">
        <v>62582.71</v>
      </c>
      <c r="Q226">
        <v>5479</v>
      </c>
    </row>
    <row r="227" spans="1:17">
      <c r="A227" t="s">
        <v>27</v>
      </c>
      <c r="B227" t="s">
        <v>16</v>
      </c>
      <c r="C227">
        <v>47944.14</v>
      </c>
      <c r="D227">
        <v>6169</v>
      </c>
      <c r="E227">
        <v>0.11899999999999999</v>
      </c>
      <c r="F227">
        <v>17</v>
      </c>
      <c r="G227">
        <v>0.92200000000000004</v>
      </c>
      <c r="H227">
        <v>3.02</v>
      </c>
      <c r="I227">
        <v>0</v>
      </c>
      <c r="J227">
        <v>4.0999999999999996</v>
      </c>
      <c r="K227">
        <v>670629.48</v>
      </c>
      <c r="L227">
        <v>100140.8</v>
      </c>
      <c r="M227">
        <f t="shared" si="9"/>
        <v>0</v>
      </c>
      <c r="N227">
        <f t="shared" si="10"/>
        <v>0</v>
      </c>
      <c r="O227">
        <f t="shared" si="11"/>
        <v>0</v>
      </c>
      <c r="P227">
        <v>47944.14</v>
      </c>
      <c r="Q227">
        <v>6169</v>
      </c>
    </row>
    <row r="228" spans="1:17">
      <c r="A228" t="s">
        <v>27</v>
      </c>
      <c r="B228" t="s">
        <v>28</v>
      </c>
      <c r="C228">
        <v>46495.4</v>
      </c>
      <c r="D228">
        <v>9908</v>
      </c>
      <c r="E228">
        <v>0.121</v>
      </c>
      <c r="F228">
        <v>22</v>
      </c>
      <c r="G228">
        <v>0.89400000000000002</v>
      </c>
      <c r="H228">
        <v>3.22</v>
      </c>
      <c r="I228">
        <v>0</v>
      </c>
      <c r="J228">
        <v>3.7</v>
      </c>
      <c r="K228">
        <v>721079.35</v>
      </c>
      <c r="L228">
        <v>115295.05</v>
      </c>
      <c r="M228">
        <f t="shared" si="9"/>
        <v>0</v>
      </c>
      <c r="N228">
        <f t="shared" si="10"/>
        <v>0</v>
      </c>
      <c r="O228">
        <f t="shared" si="11"/>
        <v>1</v>
      </c>
      <c r="P228">
        <v>46495.4</v>
      </c>
      <c r="Q228">
        <v>9908</v>
      </c>
    </row>
    <row r="229" spans="1:17">
      <c r="A229" t="s">
        <v>27</v>
      </c>
      <c r="B229" t="s">
        <v>28</v>
      </c>
      <c r="C229">
        <v>72961.95</v>
      </c>
      <c r="D229">
        <v>9996</v>
      </c>
      <c r="E229">
        <v>0.106</v>
      </c>
      <c r="F229">
        <v>22</v>
      </c>
      <c r="G229">
        <v>0.8909999999999999</v>
      </c>
      <c r="H229">
        <v>15.66</v>
      </c>
      <c r="I229">
        <v>0</v>
      </c>
      <c r="J229">
        <v>3.4</v>
      </c>
      <c r="K229">
        <v>810355.02</v>
      </c>
      <c r="L229">
        <v>131510</v>
      </c>
      <c r="M229">
        <f t="shared" si="9"/>
        <v>0</v>
      </c>
      <c r="N229">
        <f t="shared" si="10"/>
        <v>0</v>
      </c>
      <c r="O229">
        <f t="shared" si="11"/>
        <v>1</v>
      </c>
      <c r="P229">
        <v>72961.95</v>
      </c>
      <c r="Q229">
        <v>9996</v>
      </c>
    </row>
    <row r="230" spans="1:17">
      <c r="A230" t="s">
        <v>27</v>
      </c>
      <c r="B230" t="s">
        <v>28</v>
      </c>
      <c r="C230">
        <v>59060.05</v>
      </c>
      <c r="D230">
        <v>9702</v>
      </c>
      <c r="E230">
        <v>0.20100000000000001</v>
      </c>
      <c r="F230">
        <v>23</v>
      </c>
      <c r="G230">
        <v>0.80900000000000005</v>
      </c>
      <c r="H230">
        <v>6.96</v>
      </c>
      <c r="I230">
        <v>0</v>
      </c>
      <c r="J230">
        <v>3.2</v>
      </c>
      <c r="K230">
        <v>761919.25</v>
      </c>
      <c r="L230">
        <v>111893.06</v>
      </c>
      <c r="M230">
        <f t="shared" si="9"/>
        <v>0</v>
      </c>
      <c r="N230">
        <f t="shared" si="10"/>
        <v>0</v>
      </c>
      <c r="O230">
        <f t="shared" si="11"/>
        <v>1</v>
      </c>
      <c r="P230">
        <v>59060.05</v>
      </c>
      <c r="Q230">
        <v>9702</v>
      </c>
    </row>
    <row r="231" spans="1:17">
      <c r="A231" t="s">
        <v>27</v>
      </c>
      <c r="B231" t="s">
        <v>28</v>
      </c>
      <c r="C231">
        <v>26248.1</v>
      </c>
      <c r="D231">
        <v>9314</v>
      </c>
      <c r="E231">
        <v>0.186</v>
      </c>
      <c r="F231">
        <v>21</v>
      </c>
      <c r="G231">
        <v>0.83700000000000008</v>
      </c>
      <c r="H231">
        <v>4.62</v>
      </c>
      <c r="I231">
        <v>0</v>
      </c>
      <c r="J231">
        <v>3.3</v>
      </c>
      <c r="K231">
        <v>737070.18</v>
      </c>
      <c r="L231">
        <v>117593.97</v>
      </c>
      <c r="M231">
        <f t="shared" si="9"/>
        <v>0</v>
      </c>
      <c r="N231">
        <f t="shared" si="10"/>
        <v>0</v>
      </c>
      <c r="O231">
        <f t="shared" si="11"/>
        <v>1</v>
      </c>
      <c r="P231">
        <v>26248.1</v>
      </c>
      <c r="Q231">
        <v>9314</v>
      </c>
    </row>
    <row r="232" spans="1:17">
      <c r="A232" t="s">
        <v>24</v>
      </c>
      <c r="B232" t="s">
        <v>21</v>
      </c>
      <c r="C232">
        <v>69900.12</v>
      </c>
      <c r="D232">
        <v>8055</v>
      </c>
      <c r="E232">
        <v>0.28100000000000003</v>
      </c>
      <c r="F232">
        <v>22</v>
      </c>
      <c r="G232">
        <v>0.85599999999999998</v>
      </c>
      <c r="H232">
        <v>10.68</v>
      </c>
      <c r="I232">
        <v>1</v>
      </c>
      <c r="J232">
        <v>2.9</v>
      </c>
      <c r="K232">
        <v>776992.93</v>
      </c>
      <c r="L232">
        <v>101598.32</v>
      </c>
      <c r="M232">
        <f t="shared" si="9"/>
        <v>0</v>
      </c>
      <c r="N232">
        <f t="shared" si="10"/>
        <v>1</v>
      </c>
      <c r="O232">
        <f t="shared" si="11"/>
        <v>0</v>
      </c>
      <c r="P232">
        <v>69900.12</v>
      </c>
      <c r="Q232">
        <v>8055</v>
      </c>
    </row>
    <row r="233" spans="1:17">
      <c r="A233" t="s">
        <v>24</v>
      </c>
      <c r="B233" t="s">
        <v>21</v>
      </c>
      <c r="C233">
        <v>51781.599999999999</v>
      </c>
      <c r="D233">
        <v>5648</v>
      </c>
      <c r="E233">
        <v>5.8999999999999997E-2</v>
      </c>
      <c r="F233">
        <v>13</v>
      </c>
      <c r="G233">
        <v>0.85499999999999998</v>
      </c>
      <c r="H233">
        <v>4.04</v>
      </c>
      <c r="I233">
        <v>0</v>
      </c>
      <c r="J233">
        <v>3.7</v>
      </c>
      <c r="K233">
        <v>676337.41</v>
      </c>
      <c r="L233">
        <v>104355.77</v>
      </c>
      <c r="M233">
        <f t="shared" si="9"/>
        <v>0</v>
      </c>
      <c r="N233">
        <f t="shared" si="10"/>
        <v>1</v>
      </c>
      <c r="O233">
        <f t="shared" si="11"/>
        <v>0</v>
      </c>
      <c r="P233">
        <v>51781.599999999999</v>
      </c>
      <c r="Q233">
        <v>5648</v>
      </c>
    </row>
    <row r="234" spans="1:17">
      <c r="A234" t="s">
        <v>24</v>
      </c>
      <c r="B234" t="s">
        <v>21</v>
      </c>
      <c r="C234">
        <v>70799.64</v>
      </c>
      <c r="D234">
        <v>10076</v>
      </c>
      <c r="E234">
        <v>0.152</v>
      </c>
      <c r="F234">
        <v>24</v>
      </c>
      <c r="G234">
        <v>0.84799999999999998</v>
      </c>
      <c r="H234">
        <v>1.87</v>
      </c>
      <c r="I234">
        <v>0</v>
      </c>
      <c r="J234">
        <v>3.5</v>
      </c>
      <c r="K234">
        <v>828219.67</v>
      </c>
      <c r="L234">
        <v>179806.87</v>
      </c>
      <c r="M234">
        <f t="shared" si="9"/>
        <v>0</v>
      </c>
      <c r="N234">
        <f t="shared" si="10"/>
        <v>1</v>
      </c>
      <c r="O234">
        <f t="shared" si="11"/>
        <v>0</v>
      </c>
      <c r="P234">
        <v>70799.64</v>
      </c>
      <c r="Q234">
        <v>10076</v>
      </c>
    </row>
    <row r="235" spans="1:17">
      <c r="A235" t="s">
        <v>24</v>
      </c>
      <c r="B235" t="s">
        <v>21</v>
      </c>
      <c r="C235">
        <v>53546.34</v>
      </c>
      <c r="D235">
        <v>8004</v>
      </c>
      <c r="E235">
        <v>0</v>
      </c>
      <c r="F235">
        <v>21</v>
      </c>
      <c r="G235">
        <v>0.95200000000000007</v>
      </c>
      <c r="H235">
        <v>2.83</v>
      </c>
      <c r="I235">
        <v>0</v>
      </c>
      <c r="J235">
        <v>3</v>
      </c>
      <c r="K235">
        <v>763159.92</v>
      </c>
      <c r="L235">
        <v>177104.87</v>
      </c>
      <c r="M235">
        <f t="shared" si="9"/>
        <v>0</v>
      </c>
      <c r="N235">
        <f t="shared" si="10"/>
        <v>1</v>
      </c>
      <c r="O235">
        <f t="shared" si="11"/>
        <v>0</v>
      </c>
      <c r="P235">
        <v>53546.34</v>
      </c>
      <c r="Q235">
        <v>8004</v>
      </c>
    </row>
    <row r="236" spans="1:17">
      <c r="A236" t="s">
        <v>15</v>
      </c>
      <c r="B236" t="s">
        <v>18</v>
      </c>
      <c r="C236">
        <v>76942.2</v>
      </c>
      <c r="D236">
        <v>8934</v>
      </c>
      <c r="E236">
        <v>8.4000000000000005E-2</v>
      </c>
      <c r="F236">
        <v>20</v>
      </c>
      <c r="G236">
        <v>0.91</v>
      </c>
      <c r="H236">
        <v>0.95</v>
      </c>
      <c r="I236">
        <v>0</v>
      </c>
      <c r="J236">
        <v>3.2</v>
      </c>
      <c r="K236">
        <v>802001.68</v>
      </c>
      <c r="L236">
        <v>159715.82</v>
      </c>
      <c r="M236">
        <f t="shared" si="9"/>
        <v>1</v>
      </c>
      <c r="N236">
        <f t="shared" si="10"/>
        <v>0</v>
      </c>
      <c r="O236">
        <f t="shared" si="11"/>
        <v>0</v>
      </c>
      <c r="P236">
        <v>76942.2</v>
      </c>
      <c r="Q236">
        <v>8934</v>
      </c>
    </row>
    <row r="237" spans="1:17">
      <c r="A237" t="s">
        <v>15</v>
      </c>
      <c r="B237" t="s">
        <v>18</v>
      </c>
      <c r="C237">
        <v>48060.78</v>
      </c>
      <c r="D237">
        <v>8733</v>
      </c>
      <c r="E237">
        <v>0</v>
      </c>
      <c r="F237">
        <v>20</v>
      </c>
      <c r="G237">
        <v>0.89900000000000002</v>
      </c>
      <c r="H237">
        <v>0.8</v>
      </c>
      <c r="I237">
        <v>0</v>
      </c>
      <c r="J237">
        <v>3.4</v>
      </c>
      <c r="K237">
        <v>750471.34</v>
      </c>
      <c r="L237">
        <v>133788.04</v>
      </c>
      <c r="M237">
        <f t="shared" si="9"/>
        <v>1</v>
      </c>
      <c r="N237">
        <f t="shared" si="10"/>
        <v>0</v>
      </c>
      <c r="O237">
        <f t="shared" si="11"/>
        <v>0</v>
      </c>
      <c r="P237">
        <v>48060.78</v>
      </c>
      <c r="Q237">
        <v>8733</v>
      </c>
    </row>
    <row r="238" spans="1:17">
      <c r="A238" t="s">
        <v>15</v>
      </c>
      <c r="B238" t="s">
        <v>18</v>
      </c>
      <c r="C238">
        <v>57390.04</v>
      </c>
      <c r="D238">
        <v>7374</v>
      </c>
      <c r="E238">
        <v>0.21</v>
      </c>
      <c r="F238">
        <v>21</v>
      </c>
      <c r="G238">
        <v>0.91799999999999993</v>
      </c>
      <c r="H238">
        <v>0.2</v>
      </c>
      <c r="I238">
        <v>0</v>
      </c>
      <c r="J238">
        <v>3.1</v>
      </c>
      <c r="K238">
        <v>679230.86</v>
      </c>
      <c r="L238">
        <v>106927.58</v>
      </c>
      <c r="M238">
        <f t="shared" si="9"/>
        <v>1</v>
      </c>
      <c r="N238">
        <f t="shared" si="10"/>
        <v>0</v>
      </c>
      <c r="O238">
        <f t="shared" si="11"/>
        <v>0</v>
      </c>
      <c r="P238">
        <v>57390.04</v>
      </c>
      <c r="Q238">
        <v>7374</v>
      </c>
    </row>
    <row r="239" spans="1:17">
      <c r="A239" t="s">
        <v>15</v>
      </c>
      <c r="B239" t="s">
        <v>18</v>
      </c>
      <c r="C239">
        <v>21536.18</v>
      </c>
      <c r="D239">
        <v>8119</v>
      </c>
      <c r="E239">
        <v>0.22700000000000001</v>
      </c>
      <c r="F239">
        <v>20</v>
      </c>
      <c r="G239">
        <v>0.90400000000000003</v>
      </c>
      <c r="H239">
        <v>1.7</v>
      </c>
      <c r="I239">
        <v>0</v>
      </c>
      <c r="J239">
        <v>3.3</v>
      </c>
      <c r="K239">
        <v>679888.74</v>
      </c>
      <c r="L239">
        <v>83406.89</v>
      </c>
      <c r="M239">
        <f t="shared" si="9"/>
        <v>1</v>
      </c>
      <c r="N239">
        <f t="shared" si="10"/>
        <v>0</v>
      </c>
      <c r="O239">
        <f t="shared" si="11"/>
        <v>0</v>
      </c>
      <c r="P239">
        <v>21536.18</v>
      </c>
      <c r="Q239">
        <v>8119</v>
      </c>
    </row>
    <row r="240" spans="1:17">
      <c r="A240" t="s">
        <v>20</v>
      </c>
      <c r="B240" t="s">
        <v>18</v>
      </c>
      <c r="C240">
        <v>72932.55</v>
      </c>
      <c r="D240">
        <v>5765</v>
      </c>
      <c r="E240">
        <v>2.5999999999999999E-2</v>
      </c>
      <c r="F240">
        <v>17</v>
      </c>
      <c r="G240">
        <v>0.81799999999999995</v>
      </c>
      <c r="H240">
        <v>5.0999999999999996</v>
      </c>
      <c r="I240">
        <v>0</v>
      </c>
      <c r="J240">
        <v>3.6</v>
      </c>
      <c r="K240">
        <v>642751.42000000004</v>
      </c>
      <c r="L240">
        <v>131942.15</v>
      </c>
      <c r="M240">
        <f t="shared" si="9"/>
        <v>1</v>
      </c>
      <c r="N240">
        <f t="shared" si="10"/>
        <v>0</v>
      </c>
      <c r="O240">
        <f t="shared" si="11"/>
        <v>0</v>
      </c>
      <c r="P240">
        <v>72932.55</v>
      </c>
      <c r="Q240">
        <v>5765</v>
      </c>
    </row>
    <row r="241" spans="1:17">
      <c r="A241" t="s">
        <v>20</v>
      </c>
      <c r="B241" t="s">
        <v>18</v>
      </c>
      <c r="C241">
        <v>38361.93</v>
      </c>
      <c r="D241">
        <v>6322</v>
      </c>
      <c r="E241">
        <v>0.27300000000000002</v>
      </c>
      <c r="F241">
        <v>15</v>
      </c>
      <c r="G241">
        <v>0.88400000000000001</v>
      </c>
      <c r="H241">
        <v>0.83</v>
      </c>
      <c r="I241">
        <v>0</v>
      </c>
      <c r="J241">
        <v>4</v>
      </c>
      <c r="K241">
        <v>647953.78</v>
      </c>
      <c r="L241">
        <v>118497.43</v>
      </c>
      <c r="M241">
        <f t="shared" si="9"/>
        <v>1</v>
      </c>
      <c r="N241">
        <f t="shared" si="10"/>
        <v>0</v>
      </c>
      <c r="O241">
        <f t="shared" si="11"/>
        <v>0</v>
      </c>
      <c r="P241">
        <v>38361.93</v>
      </c>
      <c r="Q241">
        <v>6322</v>
      </c>
    </row>
    <row r="242" spans="1:17">
      <c r="A242" t="s">
        <v>20</v>
      </c>
      <c r="B242" t="s">
        <v>18</v>
      </c>
      <c r="C242">
        <v>97480.94</v>
      </c>
      <c r="D242">
        <v>6840</v>
      </c>
      <c r="E242">
        <v>8.6999999999999994E-2</v>
      </c>
      <c r="F242">
        <v>14</v>
      </c>
      <c r="G242">
        <v>0.79200000000000004</v>
      </c>
      <c r="H242">
        <v>1.1399999999999999</v>
      </c>
      <c r="I242">
        <v>0</v>
      </c>
      <c r="J242">
        <v>4</v>
      </c>
      <c r="K242">
        <v>729440.45</v>
      </c>
      <c r="L242">
        <v>87614.29</v>
      </c>
      <c r="M242">
        <f t="shared" si="9"/>
        <v>1</v>
      </c>
      <c r="N242">
        <f t="shared" si="10"/>
        <v>0</v>
      </c>
      <c r="O242">
        <f t="shared" si="11"/>
        <v>0</v>
      </c>
      <c r="P242">
        <v>97480.94</v>
      </c>
      <c r="Q242">
        <v>6840</v>
      </c>
    </row>
    <row r="243" spans="1:17">
      <c r="A243" t="s">
        <v>24</v>
      </c>
      <c r="B243" t="s">
        <v>21</v>
      </c>
      <c r="C243">
        <v>81801.8</v>
      </c>
      <c r="D243">
        <v>6782</v>
      </c>
      <c r="E243">
        <v>0.05</v>
      </c>
      <c r="F243">
        <v>16</v>
      </c>
      <c r="G243">
        <v>0.99</v>
      </c>
      <c r="H243">
        <v>9.5399999999999991</v>
      </c>
      <c r="I243">
        <v>0</v>
      </c>
      <c r="J243">
        <v>3.7</v>
      </c>
      <c r="K243">
        <v>764949</v>
      </c>
      <c r="L243">
        <v>148322.43</v>
      </c>
      <c r="M243">
        <f t="shared" si="9"/>
        <v>0</v>
      </c>
      <c r="N243">
        <f t="shared" si="10"/>
        <v>1</v>
      </c>
      <c r="O243">
        <f t="shared" si="11"/>
        <v>0</v>
      </c>
      <c r="P243">
        <v>81801.8</v>
      </c>
      <c r="Q243">
        <v>6782</v>
      </c>
    </row>
    <row r="244" spans="1:17">
      <c r="A244" t="s">
        <v>24</v>
      </c>
      <c r="B244" t="s">
        <v>21</v>
      </c>
      <c r="C244">
        <v>63582.11</v>
      </c>
      <c r="D244">
        <v>6856</v>
      </c>
      <c r="E244">
        <v>7.3999999999999996E-2</v>
      </c>
      <c r="F244">
        <v>17</v>
      </c>
      <c r="G244">
        <v>0.89500000000000002</v>
      </c>
      <c r="H244">
        <v>5.48</v>
      </c>
      <c r="I244">
        <v>0</v>
      </c>
      <c r="J244">
        <v>3.2</v>
      </c>
      <c r="K244">
        <v>799046.94</v>
      </c>
      <c r="L244">
        <v>144553.64000000001</v>
      </c>
      <c r="M244">
        <f t="shared" si="9"/>
        <v>0</v>
      </c>
      <c r="N244">
        <f t="shared" si="10"/>
        <v>1</v>
      </c>
      <c r="O244">
        <f t="shared" si="11"/>
        <v>0</v>
      </c>
      <c r="P244">
        <v>63582.11</v>
      </c>
      <c r="Q244">
        <v>6856</v>
      </c>
    </row>
    <row r="245" spans="1:17">
      <c r="A245" t="s">
        <v>24</v>
      </c>
      <c r="B245" t="s">
        <v>21</v>
      </c>
      <c r="C245">
        <v>75412.740000000005</v>
      </c>
      <c r="D245">
        <v>5641</v>
      </c>
      <c r="E245">
        <v>5.8999999999999997E-2</v>
      </c>
      <c r="F245">
        <v>13</v>
      </c>
      <c r="G245">
        <v>0.879</v>
      </c>
      <c r="H245">
        <v>0.84</v>
      </c>
      <c r="I245">
        <v>0</v>
      </c>
      <c r="J245">
        <v>3.6</v>
      </c>
      <c r="K245">
        <v>720079.54</v>
      </c>
      <c r="L245">
        <v>119499.47</v>
      </c>
      <c r="M245">
        <f t="shared" si="9"/>
        <v>0</v>
      </c>
      <c r="N245">
        <f t="shared" si="10"/>
        <v>1</v>
      </c>
      <c r="O245">
        <f t="shared" si="11"/>
        <v>0</v>
      </c>
      <c r="P245">
        <v>75412.740000000005</v>
      </c>
      <c r="Q245">
        <v>5641</v>
      </c>
    </row>
    <row r="246" spans="1:17">
      <c r="A246" t="s">
        <v>24</v>
      </c>
      <c r="B246" t="s">
        <v>21</v>
      </c>
      <c r="C246">
        <v>36290.080000000002</v>
      </c>
      <c r="D246">
        <v>5787</v>
      </c>
      <c r="E246">
        <v>0</v>
      </c>
      <c r="F246">
        <v>17</v>
      </c>
      <c r="G246">
        <v>0.88300000000000001</v>
      </c>
      <c r="H246">
        <v>4.1900000000000004</v>
      </c>
      <c r="I246">
        <v>0</v>
      </c>
      <c r="J246">
        <v>4.0999999999999996</v>
      </c>
      <c r="K246">
        <v>612390.14</v>
      </c>
      <c r="L246">
        <v>108985.74</v>
      </c>
      <c r="M246">
        <f t="shared" si="9"/>
        <v>0</v>
      </c>
      <c r="N246">
        <f t="shared" si="10"/>
        <v>1</v>
      </c>
      <c r="O246">
        <f t="shared" si="11"/>
        <v>0</v>
      </c>
      <c r="P246">
        <v>36290.080000000002</v>
      </c>
      <c r="Q246">
        <v>5787</v>
      </c>
    </row>
    <row r="247" spans="1:17">
      <c r="A247" t="s">
        <v>24</v>
      </c>
      <c r="B247" t="s">
        <v>28</v>
      </c>
      <c r="C247">
        <v>65272.58</v>
      </c>
      <c r="D247">
        <v>8165</v>
      </c>
      <c r="E247">
        <v>5.0999999999999997E-2</v>
      </c>
      <c r="F247">
        <v>19</v>
      </c>
      <c r="G247">
        <v>0.878</v>
      </c>
      <c r="H247">
        <v>1.26</v>
      </c>
      <c r="I247">
        <v>1</v>
      </c>
      <c r="J247">
        <v>4.3</v>
      </c>
      <c r="K247">
        <v>840108.12</v>
      </c>
      <c r="L247">
        <v>126587.01</v>
      </c>
      <c r="M247">
        <f t="shared" si="9"/>
        <v>0</v>
      </c>
      <c r="N247">
        <f t="shared" si="10"/>
        <v>0</v>
      </c>
      <c r="O247">
        <f t="shared" si="11"/>
        <v>1</v>
      </c>
      <c r="P247">
        <v>65272.58</v>
      </c>
      <c r="Q247">
        <v>8165</v>
      </c>
    </row>
    <row r="248" spans="1:17">
      <c r="A248" t="s">
        <v>24</v>
      </c>
      <c r="B248" t="s">
        <v>28</v>
      </c>
      <c r="C248">
        <v>28670.43</v>
      </c>
      <c r="D248">
        <v>7574</v>
      </c>
      <c r="E248">
        <v>0.114</v>
      </c>
      <c r="F248">
        <v>19</v>
      </c>
      <c r="G248">
        <v>0.82700000000000007</v>
      </c>
      <c r="H248">
        <v>2.74</v>
      </c>
      <c r="I248">
        <v>0</v>
      </c>
      <c r="J248">
        <v>4.5999999999999996</v>
      </c>
      <c r="K248">
        <v>697888.09</v>
      </c>
      <c r="L248">
        <v>116249.87</v>
      </c>
      <c r="M248">
        <f t="shared" si="9"/>
        <v>0</v>
      </c>
      <c r="N248">
        <f t="shared" si="10"/>
        <v>0</v>
      </c>
      <c r="O248">
        <f t="shared" si="11"/>
        <v>1</v>
      </c>
      <c r="P248">
        <v>28670.43</v>
      </c>
      <c r="Q248">
        <v>7574</v>
      </c>
    </row>
    <row r="249" spans="1:17">
      <c r="A249" t="s">
        <v>24</v>
      </c>
      <c r="B249" t="s">
        <v>28</v>
      </c>
      <c r="C249">
        <v>44189.34</v>
      </c>
      <c r="D249">
        <v>8634</v>
      </c>
      <c r="E249">
        <v>0.14299999999999999</v>
      </c>
      <c r="F249">
        <v>19</v>
      </c>
      <c r="G249">
        <v>0.875</v>
      </c>
      <c r="H249">
        <v>3.69</v>
      </c>
      <c r="I249">
        <v>0</v>
      </c>
      <c r="J249">
        <v>4.4000000000000004</v>
      </c>
      <c r="K249">
        <v>746115.59</v>
      </c>
      <c r="L249">
        <v>94662.96</v>
      </c>
      <c r="M249">
        <f t="shared" si="9"/>
        <v>0</v>
      </c>
      <c r="N249">
        <f t="shared" si="10"/>
        <v>0</v>
      </c>
      <c r="O249">
        <f t="shared" si="11"/>
        <v>1</v>
      </c>
      <c r="P249">
        <v>44189.34</v>
      </c>
      <c r="Q249">
        <v>8634</v>
      </c>
    </row>
    <row r="250" spans="1:17">
      <c r="A250" t="s">
        <v>24</v>
      </c>
      <c r="B250" t="s">
        <v>28</v>
      </c>
      <c r="C250">
        <v>38397.82</v>
      </c>
      <c r="D250">
        <v>7836</v>
      </c>
      <c r="E250">
        <v>7.0000000000000001E-3</v>
      </c>
      <c r="F250">
        <v>21</v>
      </c>
      <c r="G250">
        <v>0.92200000000000004</v>
      </c>
      <c r="H250">
        <v>1.82</v>
      </c>
      <c r="I250">
        <v>0</v>
      </c>
      <c r="J250">
        <v>3.6</v>
      </c>
      <c r="K250">
        <v>776110.32</v>
      </c>
      <c r="L250">
        <v>139676.21</v>
      </c>
      <c r="M250">
        <f t="shared" si="9"/>
        <v>0</v>
      </c>
      <c r="N250">
        <f t="shared" si="10"/>
        <v>0</v>
      </c>
      <c r="O250">
        <f t="shared" si="11"/>
        <v>1</v>
      </c>
      <c r="P250">
        <v>38397.82</v>
      </c>
      <c r="Q250">
        <v>7836</v>
      </c>
    </row>
    <row r="251" spans="1:17">
      <c r="A251" t="s">
        <v>27</v>
      </c>
      <c r="B251" t="s">
        <v>18</v>
      </c>
      <c r="C251">
        <v>14519.37</v>
      </c>
      <c r="D251">
        <v>3047</v>
      </c>
      <c r="E251">
        <v>0.13500000000000001</v>
      </c>
      <c r="F251">
        <v>10</v>
      </c>
      <c r="G251">
        <v>0.90300000000000002</v>
      </c>
      <c r="H251">
        <v>6.62</v>
      </c>
      <c r="I251">
        <v>0</v>
      </c>
      <c r="J251">
        <v>4.2</v>
      </c>
      <c r="K251">
        <v>528852.62</v>
      </c>
      <c r="L251">
        <v>68426.210000000006</v>
      </c>
      <c r="M251">
        <f t="shared" si="9"/>
        <v>1</v>
      </c>
      <c r="N251">
        <f t="shared" si="10"/>
        <v>0</v>
      </c>
      <c r="O251">
        <f t="shared" si="11"/>
        <v>0</v>
      </c>
      <c r="P251">
        <v>14519.37</v>
      </c>
      <c r="Q251">
        <v>3047</v>
      </c>
    </row>
    <row r="252" spans="1:17">
      <c r="A252" t="s">
        <v>27</v>
      </c>
      <c r="B252" t="s">
        <v>18</v>
      </c>
      <c r="C252">
        <v>51450.55</v>
      </c>
      <c r="D252">
        <v>4902</v>
      </c>
      <c r="E252">
        <v>8.5999999999999993E-2</v>
      </c>
      <c r="F252">
        <v>11</v>
      </c>
      <c r="G252">
        <v>0.83700000000000008</v>
      </c>
      <c r="H252">
        <v>6.92</v>
      </c>
      <c r="I252">
        <v>1</v>
      </c>
      <c r="J252">
        <v>4.2</v>
      </c>
      <c r="K252">
        <v>677640.65</v>
      </c>
      <c r="L252">
        <v>111610.89</v>
      </c>
      <c r="M252">
        <f t="shared" si="9"/>
        <v>1</v>
      </c>
      <c r="N252">
        <f t="shared" si="10"/>
        <v>0</v>
      </c>
      <c r="O252">
        <f t="shared" si="11"/>
        <v>0</v>
      </c>
      <c r="P252">
        <v>51450.55</v>
      </c>
      <c r="Q252">
        <v>4902</v>
      </c>
    </row>
    <row r="253" spans="1:17">
      <c r="A253" t="s">
        <v>27</v>
      </c>
      <c r="B253" t="s">
        <v>18</v>
      </c>
      <c r="C253">
        <v>58688.26</v>
      </c>
      <c r="D253">
        <v>4022</v>
      </c>
      <c r="E253">
        <v>0.217</v>
      </c>
      <c r="F253">
        <v>12</v>
      </c>
      <c r="G253">
        <v>0.93799999999999994</v>
      </c>
      <c r="H253">
        <v>11.78</v>
      </c>
      <c r="I253">
        <v>0</v>
      </c>
      <c r="J253">
        <v>3.7</v>
      </c>
      <c r="K253">
        <v>636613.23</v>
      </c>
      <c r="L253">
        <v>78908.350000000006</v>
      </c>
      <c r="M253">
        <f t="shared" si="9"/>
        <v>1</v>
      </c>
      <c r="N253">
        <f t="shared" si="10"/>
        <v>0</v>
      </c>
      <c r="O253">
        <f t="shared" si="11"/>
        <v>0</v>
      </c>
      <c r="P253">
        <v>58688.26</v>
      </c>
      <c r="Q253">
        <v>4022</v>
      </c>
    </row>
    <row r="254" spans="1:17">
      <c r="A254" t="s">
        <v>15</v>
      </c>
      <c r="B254" t="s">
        <v>18</v>
      </c>
      <c r="C254">
        <v>58981.91</v>
      </c>
      <c r="D254">
        <v>7324</v>
      </c>
      <c r="E254">
        <v>9.4E-2</v>
      </c>
      <c r="F254">
        <v>15</v>
      </c>
      <c r="G254">
        <v>0.95799999999999996</v>
      </c>
      <c r="H254">
        <v>0.5</v>
      </c>
      <c r="I254">
        <v>0</v>
      </c>
      <c r="J254">
        <v>3.5</v>
      </c>
      <c r="K254">
        <v>708985.19</v>
      </c>
      <c r="L254">
        <v>125368.16</v>
      </c>
      <c r="M254">
        <f t="shared" si="9"/>
        <v>1</v>
      </c>
      <c r="N254">
        <f t="shared" si="10"/>
        <v>0</v>
      </c>
      <c r="O254">
        <f t="shared" si="11"/>
        <v>0</v>
      </c>
      <c r="P254">
        <v>58981.91</v>
      </c>
      <c r="Q254">
        <v>7324</v>
      </c>
    </row>
    <row r="255" spans="1:17">
      <c r="A255" t="s">
        <v>15</v>
      </c>
      <c r="B255" t="s">
        <v>18</v>
      </c>
      <c r="C255">
        <v>73454.539999999994</v>
      </c>
      <c r="D255">
        <v>8129</v>
      </c>
      <c r="E255">
        <v>0.21099999999999999</v>
      </c>
      <c r="F255">
        <v>20</v>
      </c>
      <c r="G255">
        <v>0.85199999999999998</v>
      </c>
      <c r="H255">
        <v>0.88</v>
      </c>
      <c r="I255">
        <v>0</v>
      </c>
      <c r="J255">
        <v>3.7</v>
      </c>
      <c r="K255">
        <v>767792.94</v>
      </c>
      <c r="L255">
        <v>96235.77</v>
      </c>
      <c r="M255">
        <f t="shared" si="9"/>
        <v>1</v>
      </c>
      <c r="N255">
        <f t="shared" si="10"/>
        <v>0</v>
      </c>
      <c r="O255">
        <f t="shared" si="11"/>
        <v>0</v>
      </c>
      <c r="P255">
        <v>73454.539999999994</v>
      </c>
      <c r="Q255">
        <v>8129</v>
      </c>
    </row>
    <row r="256" spans="1:17">
      <c r="A256" t="s">
        <v>15</v>
      </c>
      <c r="B256" t="s">
        <v>18</v>
      </c>
      <c r="C256">
        <v>56602.39</v>
      </c>
      <c r="D256">
        <v>7969</v>
      </c>
      <c r="E256">
        <v>0.17</v>
      </c>
      <c r="F256">
        <v>21</v>
      </c>
      <c r="G256">
        <v>0.88300000000000001</v>
      </c>
      <c r="H256">
        <v>2.25</v>
      </c>
      <c r="I256">
        <v>0</v>
      </c>
      <c r="J256">
        <v>3.7</v>
      </c>
      <c r="K256">
        <v>745580.51</v>
      </c>
      <c r="L256">
        <v>116273.68</v>
      </c>
      <c r="M256">
        <f t="shared" si="9"/>
        <v>1</v>
      </c>
      <c r="N256">
        <f t="shared" si="10"/>
        <v>0</v>
      </c>
      <c r="O256">
        <f t="shared" si="11"/>
        <v>0</v>
      </c>
      <c r="P256">
        <v>56602.39</v>
      </c>
      <c r="Q256">
        <v>7969</v>
      </c>
    </row>
    <row r="257" spans="1:17">
      <c r="A257" t="s">
        <v>15</v>
      </c>
      <c r="B257" t="s">
        <v>18</v>
      </c>
      <c r="C257">
        <v>67722.289999999994</v>
      </c>
      <c r="D257">
        <v>7240</v>
      </c>
      <c r="E257">
        <v>2.5999999999999999E-2</v>
      </c>
      <c r="F257">
        <v>15</v>
      </c>
      <c r="G257">
        <v>0.92900000000000005</v>
      </c>
      <c r="H257">
        <v>0.28999999999999998</v>
      </c>
      <c r="I257">
        <v>0</v>
      </c>
      <c r="J257">
        <v>3.5</v>
      </c>
      <c r="K257">
        <v>762328.31</v>
      </c>
      <c r="L257">
        <v>159158.19</v>
      </c>
      <c r="M257">
        <f t="shared" si="9"/>
        <v>1</v>
      </c>
      <c r="N257">
        <f t="shared" si="10"/>
        <v>0</v>
      </c>
      <c r="O257">
        <f t="shared" si="11"/>
        <v>0</v>
      </c>
      <c r="P257">
        <v>67722.289999999994</v>
      </c>
      <c r="Q257">
        <v>7240</v>
      </c>
    </row>
    <row r="258" spans="1:17">
      <c r="A258" t="s">
        <v>15</v>
      </c>
      <c r="B258" t="s">
        <v>28</v>
      </c>
      <c r="C258">
        <v>48752.92</v>
      </c>
      <c r="D258">
        <v>8052</v>
      </c>
      <c r="E258">
        <v>0.106</v>
      </c>
      <c r="F258">
        <v>16</v>
      </c>
      <c r="G258">
        <v>0.94900000000000007</v>
      </c>
      <c r="H258">
        <v>0.65</v>
      </c>
      <c r="I258">
        <v>0</v>
      </c>
      <c r="J258">
        <v>3.6</v>
      </c>
      <c r="K258">
        <v>660633.99</v>
      </c>
      <c r="L258">
        <v>118768.66</v>
      </c>
      <c r="M258">
        <f t="shared" si="9"/>
        <v>0</v>
      </c>
      <c r="N258">
        <f t="shared" si="10"/>
        <v>0</v>
      </c>
      <c r="O258">
        <f t="shared" si="11"/>
        <v>1</v>
      </c>
      <c r="P258">
        <v>48752.92</v>
      </c>
      <c r="Q258">
        <v>8052</v>
      </c>
    </row>
    <row r="259" spans="1:17">
      <c r="A259" t="s">
        <v>15</v>
      </c>
      <c r="B259" t="s">
        <v>28</v>
      </c>
      <c r="C259">
        <v>23914.97</v>
      </c>
      <c r="D259">
        <v>8018</v>
      </c>
      <c r="E259">
        <v>0.13900000000000001</v>
      </c>
      <c r="F259">
        <v>20</v>
      </c>
      <c r="G259">
        <v>0.89</v>
      </c>
      <c r="H259">
        <v>0.2</v>
      </c>
      <c r="I259">
        <v>0</v>
      </c>
      <c r="J259">
        <v>3.5</v>
      </c>
      <c r="K259">
        <v>739374.56</v>
      </c>
      <c r="L259">
        <v>121032.29</v>
      </c>
      <c r="M259">
        <f t="shared" ref="M259:M307" si="12">IF(B259="High Street", 1, 0)</f>
        <v>0</v>
      </c>
      <c r="N259">
        <f t="shared" ref="N259:N307" si="13">IF(B259="Airport", 1, 0)</f>
        <v>0</v>
      </c>
      <c r="O259">
        <f t="shared" ref="O259:O307" si="14">IF(B259="Mall", 1, 0)</f>
        <v>1</v>
      </c>
      <c r="P259">
        <v>23914.97</v>
      </c>
      <c r="Q259">
        <v>8018</v>
      </c>
    </row>
    <row r="260" spans="1:17">
      <c r="A260" t="s">
        <v>15</v>
      </c>
      <c r="B260" t="s">
        <v>28</v>
      </c>
      <c r="C260">
        <v>61995.3</v>
      </c>
      <c r="D260">
        <v>10192</v>
      </c>
      <c r="E260">
        <v>0.19800000000000001</v>
      </c>
      <c r="F260">
        <v>21</v>
      </c>
      <c r="G260">
        <v>0.87599999999999989</v>
      </c>
      <c r="H260">
        <v>3.63</v>
      </c>
      <c r="I260">
        <v>1</v>
      </c>
      <c r="J260">
        <v>3.8</v>
      </c>
      <c r="K260">
        <v>799756.46</v>
      </c>
      <c r="L260">
        <v>105052.93</v>
      </c>
      <c r="M260">
        <f t="shared" si="12"/>
        <v>0</v>
      </c>
      <c r="N260">
        <f t="shared" si="13"/>
        <v>0</v>
      </c>
      <c r="O260">
        <f t="shared" si="14"/>
        <v>1</v>
      </c>
      <c r="P260">
        <v>61995.3</v>
      </c>
      <c r="Q260">
        <v>10192</v>
      </c>
    </row>
    <row r="261" spans="1:17">
      <c r="A261" t="s">
        <v>15</v>
      </c>
      <c r="B261" t="s">
        <v>28</v>
      </c>
      <c r="C261">
        <v>29344.93</v>
      </c>
      <c r="D261">
        <v>7446</v>
      </c>
      <c r="E261">
        <v>0.111</v>
      </c>
      <c r="F261">
        <v>15</v>
      </c>
      <c r="G261">
        <v>0.86199999999999999</v>
      </c>
      <c r="H261">
        <v>0.2</v>
      </c>
      <c r="I261">
        <v>0</v>
      </c>
      <c r="J261">
        <v>3.2</v>
      </c>
      <c r="K261">
        <v>593343</v>
      </c>
      <c r="L261">
        <v>82832.240000000005</v>
      </c>
      <c r="M261">
        <f t="shared" si="12"/>
        <v>0</v>
      </c>
      <c r="N261">
        <f t="shared" si="13"/>
        <v>0</v>
      </c>
      <c r="O261">
        <f t="shared" si="14"/>
        <v>1</v>
      </c>
      <c r="P261">
        <v>29344.93</v>
      </c>
      <c r="Q261">
        <v>7446</v>
      </c>
    </row>
    <row r="262" spans="1:17">
      <c r="A262" t="s">
        <v>27</v>
      </c>
      <c r="B262" t="s">
        <v>18</v>
      </c>
      <c r="C262">
        <v>50532.17</v>
      </c>
      <c r="D262">
        <v>5689</v>
      </c>
      <c r="E262">
        <v>5.1999999999999998E-2</v>
      </c>
      <c r="F262">
        <v>17</v>
      </c>
      <c r="G262">
        <v>0.85599999999999998</v>
      </c>
      <c r="H262">
        <v>6.23</v>
      </c>
      <c r="I262">
        <v>0</v>
      </c>
      <c r="J262">
        <v>3.3</v>
      </c>
      <c r="K262">
        <v>645039.97</v>
      </c>
      <c r="L262">
        <v>83093.33</v>
      </c>
      <c r="M262">
        <f t="shared" si="12"/>
        <v>1</v>
      </c>
      <c r="N262">
        <f t="shared" si="13"/>
        <v>0</v>
      </c>
      <c r="O262">
        <f t="shared" si="14"/>
        <v>0</v>
      </c>
      <c r="P262">
        <v>50532.17</v>
      </c>
      <c r="Q262">
        <v>5689</v>
      </c>
    </row>
    <row r="263" spans="1:17">
      <c r="A263" t="s">
        <v>27</v>
      </c>
      <c r="B263" t="s">
        <v>18</v>
      </c>
      <c r="C263">
        <v>17562.57</v>
      </c>
      <c r="D263">
        <v>3326</v>
      </c>
      <c r="E263">
        <v>0.153</v>
      </c>
      <c r="F263">
        <v>14</v>
      </c>
      <c r="G263">
        <v>0.88099999999999989</v>
      </c>
      <c r="H263">
        <v>1.04</v>
      </c>
      <c r="I263">
        <v>0</v>
      </c>
      <c r="J263">
        <v>3.1</v>
      </c>
      <c r="K263">
        <v>561597.32999999996</v>
      </c>
      <c r="L263">
        <v>75072.75</v>
      </c>
      <c r="M263">
        <f t="shared" si="12"/>
        <v>1</v>
      </c>
      <c r="N263">
        <f t="shared" si="13"/>
        <v>0</v>
      </c>
      <c r="O263">
        <f t="shared" si="14"/>
        <v>0</v>
      </c>
      <c r="P263">
        <v>17562.57</v>
      </c>
      <c r="Q263">
        <v>3326</v>
      </c>
    </row>
    <row r="264" spans="1:17">
      <c r="A264" t="s">
        <v>27</v>
      </c>
      <c r="B264" t="s">
        <v>18</v>
      </c>
      <c r="C264">
        <v>47648.71</v>
      </c>
      <c r="D264">
        <v>5767</v>
      </c>
      <c r="E264">
        <v>0.14099999999999999</v>
      </c>
      <c r="F264">
        <v>17</v>
      </c>
      <c r="G264">
        <v>0.89800000000000002</v>
      </c>
      <c r="H264">
        <v>1.76</v>
      </c>
      <c r="I264">
        <v>0</v>
      </c>
      <c r="J264">
        <v>3.1</v>
      </c>
      <c r="K264">
        <v>635837.74</v>
      </c>
      <c r="L264">
        <v>114740.64</v>
      </c>
      <c r="M264">
        <f t="shared" si="12"/>
        <v>1</v>
      </c>
      <c r="N264">
        <f t="shared" si="13"/>
        <v>0</v>
      </c>
      <c r="O264">
        <f t="shared" si="14"/>
        <v>0</v>
      </c>
      <c r="P264">
        <v>47648.71</v>
      </c>
      <c r="Q264">
        <v>5767</v>
      </c>
    </row>
    <row r="265" spans="1:17">
      <c r="A265" t="s">
        <v>27</v>
      </c>
      <c r="B265" t="s">
        <v>18</v>
      </c>
      <c r="C265">
        <v>38297.58</v>
      </c>
      <c r="D265">
        <v>5893</v>
      </c>
      <c r="E265">
        <v>0.247</v>
      </c>
      <c r="F265">
        <v>18</v>
      </c>
      <c r="G265">
        <v>0.77599999999999991</v>
      </c>
      <c r="H265">
        <v>2.86</v>
      </c>
      <c r="I265">
        <v>0</v>
      </c>
      <c r="J265">
        <v>3</v>
      </c>
      <c r="K265">
        <v>686737.87</v>
      </c>
      <c r="L265">
        <v>83839.67</v>
      </c>
      <c r="M265">
        <f t="shared" si="12"/>
        <v>1</v>
      </c>
      <c r="N265">
        <f t="shared" si="13"/>
        <v>0</v>
      </c>
      <c r="O265">
        <f t="shared" si="14"/>
        <v>0</v>
      </c>
      <c r="P265">
        <v>38297.58</v>
      </c>
      <c r="Q265">
        <v>5893</v>
      </c>
    </row>
    <row r="266" spans="1:17">
      <c r="A266" t="s">
        <v>24</v>
      </c>
      <c r="B266" t="s">
        <v>16</v>
      </c>
      <c r="C266">
        <v>61784.11</v>
      </c>
      <c r="D266">
        <v>8564</v>
      </c>
      <c r="E266">
        <v>0.13</v>
      </c>
      <c r="F266">
        <v>17</v>
      </c>
      <c r="G266">
        <v>0.87400000000000011</v>
      </c>
      <c r="H266">
        <v>18.14</v>
      </c>
      <c r="I266">
        <v>1</v>
      </c>
      <c r="J266">
        <v>3.4</v>
      </c>
      <c r="K266">
        <v>673076.34</v>
      </c>
      <c r="L266">
        <v>93899.76</v>
      </c>
      <c r="M266">
        <f t="shared" si="12"/>
        <v>0</v>
      </c>
      <c r="N266">
        <f t="shared" si="13"/>
        <v>0</v>
      </c>
      <c r="O266">
        <f t="shared" si="14"/>
        <v>0</v>
      </c>
      <c r="P266">
        <v>61784.11</v>
      </c>
      <c r="Q266">
        <v>8564</v>
      </c>
    </row>
    <row r="267" spans="1:17">
      <c r="A267" t="s">
        <v>24</v>
      </c>
      <c r="B267" t="s">
        <v>16</v>
      </c>
      <c r="C267">
        <v>36832.33</v>
      </c>
      <c r="D267">
        <v>8001</v>
      </c>
      <c r="E267">
        <v>0</v>
      </c>
      <c r="F267">
        <v>19</v>
      </c>
      <c r="G267">
        <v>0.88700000000000001</v>
      </c>
      <c r="H267">
        <v>3.39</v>
      </c>
      <c r="I267">
        <v>0</v>
      </c>
      <c r="J267">
        <v>4</v>
      </c>
      <c r="K267">
        <v>738548.42</v>
      </c>
      <c r="L267">
        <v>134282.76999999999</v>
      </c>
      <c r="M267">
        <f t="shared" si="12"/>
        <v>0</v>
      </c>
      <c r="N267">
        <f t="shared" si="13"/>
        <v>0</v>
      </c>
      <c r="O267">
        <f t="shared" si="14"/>
        <v>0</v>
      </c>
      <c r="P267">
        <v>36832.33</v>
      </c>
      <c r="Q267">
        <v>8001</v>
      </c>
    </row>
    <row r="268" spans="1:17">
      <c r="A268" t="s">
        <v>24</v>
      </c>
      <c r="B268" t="s">
        <v>16</v>
      </c>
      <c r="C268">
        <v>48609.41</v>
      </c>
      <c r="D268">
        <v>9324</v>
      </c>
      <c r="E268">
        <v>0.21299999999999999</v>
      </c>
      <c r="F268">
        <v>18</v>
      </c>
      <c r="G268">
        <v>0.86499999999999999</v>
      </c>
      <c r="H268">
        <v>1.44</v>
      </c>
      <c r="I268">
        <v>0</v>
      </c>
      <c r="J268">
        <v>3.9</v>
      </c>
      <c r="K268">
        <v>756619.77</v>
      </c>
      <c r="L268">
        <v>112057.69</v>
      </c>
      <c r="M268">
        <f t="shared" si="12"/>
        <v>0</v>
      </c>
      <c r="N268">
        <f t="shared" si="13"/>
        <v>0</v>
      </c>
      <c r="O268">
        <f t="shared" si="14"/>
        <v>0</v>
      </c>
      <c r="P268">
        <v>48609.41</v>
      </c>
      <c r="Q268">
        <v>9324</v>
      </c>
    </row>
    <row r="269" spans="1:17">
      <c r="A269" t="s">
        <v>24</v>
      </c>
      <c r="B269" t="s">
        <v>16</v>
      </c>
      <c r="C269">
        <v>70284.06</v>
      </c>
      <c r="D269">
        <v>9109</v>
      </c>
      <c r="E269">
        <v>4.0000000000000001E-3</v>
      </c>
      <c r="F269">
        <v>23</v>
      </c>
      <c r="G269">
        <v>0.87</v>
      </c>
      <c r="H269">
        <v>3.65</v>
      </c>
      <c r="I269">
        <v>0</v>
      </c>
      <c r="J269">
        <v>3.7</v>
      </c>
      <c r="K269">
        <v>761122.42</v>
      </c>
      <c r="L269">
        <v>149802.04</v>
      </c>
      <c r="M269">
        <f t="shared" si="12"/>
        <v>0</v>
      </c>
      <c r="N269">
        <f t="shared" si="13"/>
        <v>0</v>
      </c>
      <c r="O269">
        <f t="shared" si="14"/>
        <v>0</v>
      </c>
      <c r="P269">
        <v>70284.06</v>
      </c>
      <c r="Q269">
        <v>9109</v>
      </c>
    </row>
    <row r="270" spans="1:17">
      <c r="A270" t="s">
        <v>24</v>
      </c>
      <c r="B270" t="s">
        <v>18</v>
      </c>
      <c r="C270">
        <v>45940.39</v>
      </c>
      <c r="D270">
        <v>4022</v>
      </c>
      <c r="E270">
        <v>6.9000000000000006E-2</v>
      </c>
      <c r="F270">
        <v>10</v>
      </c>
      <c r="G270">
        <v>0.83</v>
      </c>
      <c r="H270">
        <v>1.23</v>
      </c>
      <c r="I270">
        <v>1</v>
      </c>
      <c r="J270">
        <v>3.8</v>
      </c>
      <c r="K270">
        <v>524899.56999999995</v>
      </c>
      <c r="L270">
        <v>63619.98</v>
      </c>
      <c r="M270">
        <f t="shared" si="12"/>
        <v>1</v>
      </c>
      <c r="N270">
        <f t="shared" si="13"/>
        <v>0</v>
      </c>
      <c r="O270">
        <f t="shared" si="14"/>
        <v>0</v>
      </c>
      <c r="P270">
        <v>45940.39</v>
      </c>
      <c r="Q270">
        <v>4022</v>
      </c>
    </row>
    <row r="271" spans="1:17">
      <c r="A271" t="s">
        <v>24</v>
      </c>
      <c r="B271" t="s">
        <v>18</v>
      </c>
      <c r="C271">
        <v>34771.26</v>
      </c>
      <c r="D271">
        <v>4355</v>
      </c>
      <c r="E271">
        <v>5.0999999999999997E-2</v>
      </c>
      <c r="F271">
        <v>15</v>
      </c>
      <c r="G271">
        <v>0.879</v>
      </c>
      <c r="H271">
        <v>3.09</v>
      </c>
      <c r="I271">
        <v>0</v>
      </c>
      <c r="J271">
        <v>4</v>
      </c>
      <c r="K271">
        <v>555557.77</v>
      </c>
      <c r="L271">
        <v>86475.51</v>
      </c>
      <c r="M271">
        <f t="shared" si="12"/>
        <v>1</v>
      </c>
      <c r="N271">
        <f t="shared" si="13"/>
        <v>0</v>
      </c>
      <c r="O271">
        <f t="shared" si="14"/>
        <v>0</v>
      </c>
      <c r="P271">
        <v>34771.26</v>
      </c>
      <c r="Q271">
        <v>4355</v>
      </c>
    </row>
    <row r="272" spans="1:17">
      <c r="A272" t="s">
        <v>24</v>
      </c>
      <c r="B272" t="s">
        <v>18</v>
      </c>
      <c r="C272">
        <v>66104.19</v>
      </c>
      <c r="D272">
        <v>5745</v>
      </c>
      <c r="E272">
        <v>7.0000000000000007E-2</v>
      </c>
      <c r="F272">
        <v>17</v>
      </c>
      <c r="G272">
        <v>0.95799999999999996</v>
      </c>
      <c r="H272">
        <v>3.15</v>
      </c>
      <c r="I272">
        <v>0</v>
      </c>
      <c r="J272">
        <v>4</v>
      </c>
      <c r="K272">
        <v>714083.68</v>
      </c>
      <c r="L272">
        <v>127231.74</v>
      </c>
      <c r="M272">
        <f t="shared" si="12"/>
        <v>1</v>
      </c>
      <c r="N272">
        <f t="shared" si="13"/>
        <v>0</v>
      </c>
      <c r="O272">
        <f t="shared" si="14"/>
        <v>0</v>
      </c>
      <c r="P272">
        <v>66104.19</v>
      </c>
      <c r="Q272">
        <v>5745</v>
      </c>
    </row>
    <row r="273" spans="1:17">
      <c r="A273" t="s">
        <v>24</v>
      </c>
      <c r="B273" t="s">
        <v>18</v>
      </c>
      <c r="C273">
        <v>18599.21</v>
      </c>
      <c r="D273">
        <v>3027</v>
      </c>
      <c r="E273">
        <v>0.122</v>
      </c>
      <c r="F273">
        <v>11</v>
      </c>
      <c r="G273">
        <v>0.80900000000000005</v>
      </c>
      <c r="H273">
        <v>6.44</v>
      </c>
      <c r="I273">
        <v>0</v>
      </c>
      <c r="J273">
        <v>4.2</v>
      </c>
      <c r="K273">
        <v>497439.82</v>
      </c>
      <c r="L273">
        <v>93372.75</v>
      </c>
      <c r="M273">
        <f t="shared" si="12"/>
        <v>1</v>
      </c>
      <c r="N273">
        <f t="shared" si="13"/>
        <v>0</v>
      </c>
      <c r="O273">
        <f t="shared" si="14"/>
        <v>0</v>
      </c>
      <c r="P273">
        <v>18599.21</v>
      </c>
      <c r="Q273">
        <v>3027</v>
      </c>
    </row>
    <row r="274" spans="1:17">
      <c r="A274" t="s">
        <v>27</v>
      </c>
      <c r="B274" t="s">
        <v>16</v>
      </c>
      <c r="C274">
        <v>60183.06</v>
      </c>
      <c r="D274">
        <v>5562</v>
      </c>
      <c r="E274">
        <v>8.9999999999999993E-3</v>
      </c>
      <c r="F274">
        <v>13</v>
      </c>
      <c r="G274">
        <v>0.86299999999999999</v>
      </c>
      <c r="H274">
        <v>0.2</v>
      </c>
      <c r="I274">
        <v>1</v>
      </c>
      <c r="J274">
        <v>4.5</v>
      </c>
      <c r="K274">
        <v>636775.66</v>
      </c>
      <c r="L274">
        <v>122636.86</v>
      </c>
      <c r="M274">
        <f t="shared" si="12"/>
        <v>0</v>
      </c>
      <c r="N274">
        <f t="shared" si="13"/>
        <v>0</v>
      </c>
      <c r="O274">
        <f t="shared" si="14"/>
        <v>0</v>
      </c>
      <c r="P274">
        <v>60183.06</v>
      </c>
      <c r="Q274">
        <v>5562</v>
      </c>
    </row>
    <row r="275" spans="1:17">
      <c r="A275" t="s">
        <v>27</v>
      </c>
      <c r="B275" t="s">
        <v>16</v>
      </c>
      <c r="C275">
        <v>74539.14</v>
      </c>
      <c r="D275">
        <v>4487</v>
      </c>
      <c r="E275">
        <v>0.14000000000000001</v>
      </c>
      <c r="F275">
        <v>10</v>
      </c>
      <c r="G275">
        <v>0.90400000000000003</v>
      </c>
      <c r="H275">
        <v>0.59</v>
      </c>
      <c r="I275">
        <v>0</v>
      </c>
      <c r="J275">
        <v>4.5</v>
      </c>
      <c r="K275">
        <v>633009.53</v>
      </c>
      <c r="L275">
        <v>123782.67</v>
      </c>
      <c r="M275">
        <f t="shared" si="12"/>
        <v>0</v>
      </c>
      <c r="N275">
        <f t="shared" si="13"/>
        <v>0</v>
      </c>
      <c r="O275">
        <f t="shared" si="14"/>
        <v>0</v>
      </c>
      <c r="P275">
        <v>74539.14</v>
      </c>
      <c r="Q275">
        <v>4487</v>
      </c>
    </row>
    <row r="276" spans="1:17">
      <c r="A276" t="s">
        <v>27</v>
      </c>
      <c r="B276" t="s">
        <v>16</v>
      </c>
      <c r="C276">
        <v>55371.97</v>
      </c>
      <c r="D276">
        <v>4162</v>
      </c>
      <c r="E276">
        <v>0.183</v>
      </c>
      <c r="F276">
        <v>11</v>
      </c>
      <c r="G276">
        <v>0.92</v>
      </c>
      <c r="H276">
        <v>0.2</v>
      </c>
      <c r="I276">
        <v>1</v>
      </c>
      <c r="J276">
        <v>4.2</v>
      </c>
      <c r="K276">
        <v>609949</v>
      </c>
      <c r="L276">
        <v>126789.25</v>
      </c>
      <c r="M276">
        <f t="shared" si="12"/>
        <v>0</v>
      </c>
      <c r="N276">
        <f t="shared" si="13"/>
        <v>0</v>
      </c>
      <c r="O276">
        <f t="shared" si="14"/>
        <v>0</v>
      </c>
      <c r="P276">
        <v>55371.97</v>
      </c>
      <c r="Q276">
        <v>4162</v>
      </c>
    </row>
    <row r="277" spans="1:17">
      <c r="A277" t="s">
        <v>27</v>
      </c>
      <c r="B277" t="s">
        <v>16</v>
      </c>
      <c r="C277">
        <v>40928.69</v>
      </c>
      <c r="D277">
        <v>4094</v>
      </c>
      <c r="E277">
        <v>0.17399999999999999</v>
      </c>
      <c r="F277">
        <v>13</v>
      </c>
      <c r="G277">
        <v>0.82400000000000007</v>
      </c>
      <c r="H277">
        <v>1.36</v>
      </c>
      <c r="I277">
        <v>0</v>
      </c>
      <c r="J277">
        <v>4.8</v>
      </c>
      <c r="K277">
        <v>548103.69999999995</v>
      </c>
      <c r="L277">
        <v>99905.52</v>
      </c>
      <c r="M277">
        <f t="shared" si="12"/>
        <v>0</v>
      </c>
      <c r="N277">
        <f t="shared" si="13"/>
        <v>0</v>
      </c>
      <c r="O277">
        <f t="shared" si="14"/>
        <v>0</v>
      </c>
      <c r="P277">
        <v>40928.69</v>
      </c>
      <c r="Q277">
        <v>4094</v>
      </c>
    </row>
    <row r="278" spans="1:17">
      <c r="A278" t="s">
        <v>15</v>
      </c>
      <c r="B278" t="s">
        <v>16</v>
      </c>
      <c r="C278">
        <v>70012.41</v>
      </c>
      <c r="D278">
        <v>8484</v>
      </c>
      <c r="E278">
        <v>0.27300000000000002</v>
      </c>
      <c r="F278">
        <v>23</v>
      </c>
      <c r="G278">
        <v>0.72900000000000009</v>
      </c>
      <c r="H278">
        <v>3.34</v>
      </c>
      <c r="I278">
        <v>0</v>
      </c>
      <c r="J278">
        <v>3.7</v>
      </c>
      <c r="K278">
        <v>729424.42</v>
      </c>
      <c r="L278">
        <v>75592.28</v>
      </c>
      <c r="M278">
        <f t="shared" si="12"/>
        <v>0</v>
      </c>
      <c r="N278">
        <f t="shared" si="13"/>
        <v>0</v>
      </c>
      <c r="O278">
        <f t="shared" si="14"/>
        <v>0</v>
      </c>
      <c r="P278">
        <v>70012.41</v>
      </c>
      <c r="Q278">
        <v>8484</v>
      </c>
    </row>
    <row r="279" spans="1:17">
      <c r="A279" t="s">
        <v>15</v>
      </c>
      <c r="B279" t="s">
        <v>16</v>
      </c>
      <c r="C279">
        <v>68909.259999999995</v>
      </c>
      <c r="D279">
        <v>7794</v>
      </c>
      <c r="E279">
        <v>0.28399999999999997</v>
      </c>
      <c r="F279">
        <v>22</v>
      </c>
      <c r="G279">
        <v>0.89</v>
      </c>
      <c r="H279">
        <v>0.33</v>
      </c>
      <c r="I279">
        <v>0</v>
      </c>
      <c r="J279">
        <v>4</v>
      </c>
      <c r="K279">
        <v>696261.49</v>
      </c>
      <c r="L279">
        <v>72455.350000000006</v>
      </c>
      <c r="M279">
        <f t="shared" si="12"/>
        <v>0</v>
      </c>
      <c r="N279">
        <f t="shared" si="13"/>
        <v>0</v>
      </c>
      <c r="O279">
        <f t="shared" si="14"/>
        <v>0</v>
      </c>
      <c r="P279">
        <v>68909.259999999995</v>
      </c>
      <c r="Q279">
        <v>7794</v>
      </c>
    </row>
    <row r="280" spans="1:17">
      <c r="A280" t="s">
        <v>15</v>
      </c>
      <c r="B280" t="s">
        <v>16</v>
      </c>
      <c r="C280">
        <v>56737.3</v>
      </c>
      <c r="D280">
        <v>8300</v>
      </c>
      <c r="E280">
        <v>3.2000000000000001E-2</v>
      </c>
      <c r="F280">
        <v>21</v>
      </c>
      <c r="G280">
        <v>0.83200000000000007</v>
      </c>
      <c r="H280">
        <v>3.44</v>
      </c>
      <c r="I280">
        <v>1</v>
      </c>
      <c r="J280">
        <v>4.3</v>
      </c>
      <c r="K280">
        <v>813316.71</v>
      </c>
      <c r="L280">
        <v>110077.42</v>
      </c>
      <c r="M280">
        <f t="shared" si="12"/>
        <v>0</v>
      </c>
      <c r="N280">
        <f t="shared" si="13"/>
        <v>0</v>
      </c>
      <c r="O280">
        <f t="shared" si="14"/>
        <v>0</v>
      </c>
      <c r="P280">
        <v>56737.3</v>
      </c>
      <c r="Q280">
        <v>8300</v>
      </c>
    </row>
    <row r="281" spans="1:17">
      <c r="A281" t="s">
        <v>15</v>
      </c>
      <c r="B281" t="s">
        <v>16</v>
      </c>
      <c r="C281">
        <v>54080.91</v>
      </c>
      <c r="D281">
        <v>7083</v>
      </c>
      <c r="E281">
        <v>0</v>
      </c>
      <c r="F281">
        <v>15</v>
      </c>
      <c r="G281">
        <v>0.97</v>
      </c>
      <c r="H281">
        <v>5.33</v>
      </c>
      <c r="I281">
        <v>0</v>
      </c>
      <c r="J281">
        <v>4.0999999999999996</v>
      </c>
      <c r="K281">
        <v>702068.92</v>
      </c>
      <c r="L281">
        <v>111266.63</v>
      </c>
      <c r="M281">
        <f t="shared" si="12"/>
        <v>0</v>
      </c>
      <c r="N281">
        <f t="shared" si="13"/>
        <v>0</v>
      </c>
      <c r="O281">
        <f t="shared" si="14"/>
        <v>0</v>
      </c>
      <c r="P281">
        <v>54080.91</v>
      </c>
      <c r="Q281">
        <v>7083</v>
      </c>
    </row>
    <row r="282" spans="1:17">
      <c r="A282" t="s">
        <v>27</v>
      </c>
      <c r="B282" t="s">
        <v>18</v>
      </c>
      <c r="C282">
        <v>51996.32</v>
      </c>
      <c r="D282">
        <v>3834</v>
      </c>
      <c r="E282">
        <v>9.6000000000000002E-2</v>
      </c>
      <c r="F282">
        <v>8</v>
      </c>
      <c r="G282">
        <v>0.86699999999999999</v>
      </c>
      <c r="H282">
        <v>6.04</v>
      </c>
      <c r="I282">
        <v>0</v>
      </c>
      <c r="J282">
        <v>4.5</v>
      </c>
      <c r="K282">
        <v>546223.69999999995</v>
      </c>
      <c r="L282">
        <v>100769.17</v>
      </c>
      <c r="M282">
        <f t="shared" si="12"/>
        <v>1</v>
      </c>
      <c r="N282">
        <f t="shared" si="13"/>
        <v>0</v>
      </c>
      <c r="O282">
        <f t="shared" si="14"/>
        <v>0</v>
      </c>
      <c r="P282">
        <v>51996.32</v>
      </c>
      <c r="Q282">
        <v>3834</v>
      </c>
    </row>
    <row r="283" spans="1:17">
      <c r="A283" t="s">
        <v>27</v>
      </c>
      <c r="B283" t="s">
        <v>18</v>
      </c>
      <c r="C283">
        <v>40102.879999999997</v>
      </c>
      <c r="D283">
        <v>2358</v>
      </c>
      <c r="E283">
        <v>0.11899999999999999</v>
      </c>
      <c r="F283">
        <v>9</v>
      </c>
      <c r="G283">
        <v>0.88700000000000001</v>
      </c>
      <c r="H283">
        <v>1.6</v>
      </c>
      <c r="I283">
        <v>0</v>
      </c>
      <c r="J283">
        <v>4.2</v>
      </c>
      <c r="K283">
        <v>533121.26</v>
      </c>
      <c r="L283">
        <v>55063.39</v>
      </c>
      <c r="M283">
        <f t="shared" si="12"/>
        <v>1</v>
      </c>
      <c r="N283">
        <f t="shared" si="13"/>
        <v>0</v>
      </c>
      <c r="O283">
        <f t="shared" si="14"/>
        <v>0</v>
      </c>
      <c r="P283">
        <v>40102.879999999997</v>
      </c>
      <c r="Q283">
        <v>2358</v>
      </c>
    </row>
    <row r="284" spans="1:17">
      <c r="A284" t="s">
        <v>27</v>
      </c>
      <c r="B284" t="s">
        <v>18</v>
      </c>
      <c r="C284">
        <v>59825.51</v>
      </c>
      <c r="D284">
        <v>1231</v>
      </c>
      <c r="E284">
        <v>0.214</v>
      </c>
      <c r="F284">
        <v>10</v>
      </c>
      <c r="G284">
        <v>0.84799999999999998</v>
      </c>
      <c r="H284">
        <v>8.9600000000000009</v>
      </c>
      <c r="I284">
        <v>0</v>
      </c>
      <c r="J284">
        <v>4.7</v>
      </c>
      <c r="K284">
        <v>498970.32</v>
      </c>
      <c r="L284">
        <v>69656.7</v>
      </c>
      <c r="M284">
        <f t="shared" si="12"/>
        <v>1</v>
      </c>
      <c r="N284">
        <f t="shared" si="13"/>
        <v>0</v>
      </c>
      <c r="O284">
        <f t="shared" si="14"/>
        <v>0</v>
      </c>
      <c r="P284">
        <v>59825.51</v>
      </c>
      <c r="Q284">
        <v>1231</v>
      </c>
    </row>
    <row r="285" spans="1:17">
      <c r="A285" t="s">
        <v>27</v>
      </c>
      <c r="B285" t="s">
        <v>18</v>
      </c>
      <c r="C285">
        <v>27398.28</v>
      </c>
      <c r="D285">
        <v>1723</v>
      </c>
      <c r="E285">
        <v>0.17100000000000001</v>
      </c>
      <c r="F285">
        <v>9</v>
      </c>
      <c r="G285">
        <v>0.81</v>
      </c>
      <c r="H285">
        <v>0.74</v>
      </c>
      <c r="I285">
        <v>0</v>
      </c>
      <c r="J285">
        <v>4.5999999999999996</v>
      </c>
      <c r="K285">
        <v>487738.26</v>
      </c>
      <c r="L285">
        <v>96435.6</v>
      </c>
      <c r="M285">
        <f t="shared" si="12"/>
        <v>1</v>
      </c>
      <c r="N285">
        <f t="shared" si="13"/>
        <v>0</v>
      </c>
      <c r="O285">
        <f t="shared" si="14"/>
        <v>0</v>
      </c>
      <c r="P285">
        <v>27398.28</v>
      </c>
      <c r="Q285">
        <v>1723</v>
      </c>
    </row>
    <row r="286" spans="1:17">
      <c r="A286" t="s">
        <v>27</v>
      </c>
      <c r="B286" t="s">
        <v>18</v>
      </c>
      <c r="C286">
        <v>55599.56</v>
      </c>
      <c r="D286">
        <v>5896</v>
      </c>
      <c r="E286">
        <v>3.5999999999999997E-2</v>
      </c>
      <c r="F286">
        <v>12</v>
      </c>
      <c r="G286">
        <v>0.93099999999999994</v>
      </c>
      <c r="H286">
        <v>6.13</v>
      </c>
      <c r="I286">
        <v>0</v>
      </c>
      <c r="J286">
        <v>3.3</v>
      </c>
      <c r="K286">
        <v>668459.37</v>
      </c>
      <c r="L286">
        <v>126435.42</v>
      </c>
      <c r="M286">
        <f t="shared" si="12"/>
        <v>1</v>
      </c>
      <c r="N286">
        <f t="shared" si="13"/>
        <v>0</v>
      </c>
      <c r="O286">
        <f t="shared" si="14"/>
        <v>0</v>
      </c>
      <c r="P286">
        <v>55599.56</v>
      </c>
      <c r="Q286">
        <v>5896</v>
      </c>
    </row>
    <row r="287" spans="1:17">
      <c r="A287" t="s">
        <v>27</v>
      </c>
      <c r="B287" t="s">
        <v>18</v>
      </c>
      <c r="C287">
        <v>55477.61</v>
      </c>
      <c r="D287">
        <v>5903</v>
      </c>
      <c r="E287">
        <v>0.10199999999999999</v>
      </c>
      <c r="F287">
        <v>14</v>
      </c>
      <c r="G287">
        <v>0.96200000000000008</v>
      </c>
      <c r="H287">
        <v>1.41</v>
      </c>
      <c r="I287">
        <v>0</v>
      </c>
      <c r="J287">
        <v>3.3</v>
      </c>
      <c r="K287">
        <v>763162.45</v>
      </c>
      <c r="L287">
        <v>162524.04999999999</v>
      </c>
      <c r="M287">
        <f t="shared" si="12"/>
        <v>1</v>
      </c>
      <c r="N287">
        <f t="shared" si="13"/>
        <v>0</v>
      </c>
      <c r="O287">
        <f t="shared" si="14"/>
        <v>0</v>
      </c>
      <c r="P287">
        <v>55477.61</v>
      </c>
      <c r="Q287">
        <v>5903</v>
      </c>
    </row>
    <row r="288" spans="1:17">
      <c r="A288" t="s">
        <v>27</v>
      </c>
      <c r="B288" t="s">
        <v>18</v>
      </c>
      <c r="C288">
        <v>46174.7</v>
      </c>
      <c r="D288">
        <v>4898</v>
      </c>
      <c r="E288">
        <v>0.114</v>
      </c>
      <c r="F288">
        <v>11</v>
      </c>
      <c r="G288">
        <v>0.91700000000000004</v>
      </c>
      <c r="H288">
        <v>3.75</v>
      </c>
      <c r="I288">
        <v>0</v>
      </c>
      <c r="J288">
        <v>3.1</v>
      </c>
      <c r="K288">
        <v>599017.32999999996</v>
      </c>
      <c r="L288">
        <v>134009.92000000001</v>
      </c>
      <c r="M288">
        <f t="shared" si="12"/>
        <v>1</v>
      </c>
      <c r="N288">
        <f t="shared" si="13"/>
        <v>0</v>
      </c>
      <c r="O288">
        <f t="shared" si="14"/>
        <v>0</v>
      </c>
      <c r="P288">
        <v>46174.7</v>
      </c>
      <c r="Q288">
        <v>4898</v>
      </c>
    </row>
    <row r="289" spans="1:17">
      <c r="A289" t="s">
        <v>27</v>
      </c>
      <c r="B289" t="s">
        <v>18</v>
      </c>
      <c r="C289">
        <v>24362.98</v>
      </c>
      <c r="D289">
        <v>1462</v>
      </c>
      <c r="E289">
        <v>0.11700000000000001</v>
      </c>
      <c r="F289">
        <v>6</v>
      </c>
      <c r="G289">
        <v>0.89300000000000002</v>
      </c>
      <c r="H289">
        <v>15.06</v>
      </c>
      <c r="I289">
        <v>0</v>
      </c>
      <c r="J289">
        <v>3.2</v>
      </c>
      <c r="K289">
        <v>401582.58</v>
      </c>
      <c r="L289">
        <v>68454.929999999993</v>
      </c>
      <c r="M289">
        <f t="shared" si="12"/>
        <v>1</v>
      </c>
      <c r="N289">
        <f t="shared" si="13"/>
        <v>0</v>
      </c>
      <c r="O289">
        <f t="shared" si="14"/>
        <v>0</v>
      </c>
      <c r="P289">
        <v>24362.98</v>
      </c>
      <c r="Q289">
        <v>1462</v>
      </c>
    </row>
    <row r="290" spans="1:17">
      <c r="A290" t="s">
        <v>20</v>
      </c>
      <c r="B290" t="s">
        <v>28</v>
      </c>
      <c r="C290">
        <v>40647.67</v>
      </c>
      <c r="D290">
        <v>8252</v>
      </c>
      <c r="E290">
        <v>0.14099999999999999</v>
      </c>
      <c r="F290">
        <v>22</v>
      </c>
      <c r="G290">
        <v>0.88200000000000001</v>
      </c>
      <c r="H290">
        <v>5.07</v>
      </c>
      <c r="I290">
        <v>1</v>
      </c>
      <c r="J290">
        <v>4.0999999999999996</v>
      </c>
      <c r="K290">
        <v>703812.99</v>
      </c>
      <c r="L290">
        <v>133577.98000000001</v>
      </c>
      <c r="M290">
        <f t="shared" si="12"/>
        <v>0</v>
      </c>
      <c r="N290">
        <f t="shared" si="13"/>
        <v>0</v>
      </c>
      <c r="O290">
        <f t="shared" si="14"/>
        <v>1</v>
      </c>
      <c r="P290">
        <v>40647.67</v>
      </c>
      <c r="Q290">
        <v>8252</v>
      </c>
    </row>
    <row r="291" spans="1:17">
      <c r="A291" t="s">
        <v>20</v>
      </c>
      <c r="B291" t="s">
        <v>28</v>
      </c>
      <c r="C291">
        <v>63986.98</v>
      </c>
      <c r="D291">
        <v>7989</v>
      </c>
      <c r="E291">
        <v>7.3999999999999996E-2</v>
      </c>
      <c r="F291">
        <v>20</v>
      </c>
      <c r="G291">
        <v>0.83299999999999996</v>
      </c>
      <c r="H291">
        <v>3.6</v>
      </c>
      <c r="I291">
        <v>0</v>
      </c>
      <c r="J291">
        <v>3.7</v>
      </c>
      <c r="K291">
        <v>724346.73</v>
      </c>
      <c r="L291">
        <v>155013.91</v>
      </c>
      <c r="M291">
        <f t="shared" si="12"/>
        <v>0</v>
      </c>
      <c r="N291">
        <f t="shared" si="13"/>
        <v>0</v>
      </c>
      <c r="O291">
        <f t="shared" si="14"/>
        <v>1</v>
      </c>
      <c r="P291">
        <v>63986.98</v>
      </c>
      <c r="Q291">
        <v>7989</v>
      </c>
    </row>
    <row r="292" spans="1:17">
      <c r="A292" t="s">
        <v>20</v>
      </c>
      <c r="B292" t="s">
        <v>28</v>
      </c>
      <c r="C292">
        <v>52843.75</v>
      </c>
      <c r="D292">
        <v>8268</v>
      </c>
      <c r="E292">
        <v>0.13800000000000001</v>
      </c>
      <c r="F292">
        <v>19</v>
      </c>
      <c r="G292">
        <v>0.873</v>
      </c>
      <c r="H292">
        <v>4.3899999999999997</v>
      </c>
      <c r="I292">
        <v>1</v>
      </c>
      <c r="J292">
        <v>4.7</v>
      </c>
      <c r="K292">
        <v>730890.01</v>
      </c>
      <c r="L292">
        <v>105502.56</v>
      </c>
      <c r="M292">
        <f t="shared" si="12"/>
        <v>0</v>
      </c>
      <c r="N292">
        <f t="shared" si="13"/>
        <v>0</v>
      </c>
      <c r="O292">
        <f t="shared" si="14"/>
        <v>1</v>
      </c>
      <c r="P292">
        <v>52843.75</v>
      </c>
      <c r="Q292">
        <v>8268</v>
      </c>
    </row>
    <row r="293" spans="1:17">
      <c r="A293" t="s">
        <v>20</v>
      </c>
      <c r="B293" t="s">
        <v>28</v>
      </c>
      <c r="C293">
        <v>31997.25</v>
      </c>
      <c r="D293">
        <v>8183</v>
      </c>
      <c r="E293">
        <v>0.19800000000000001</v>
      </c>
      <c r="F293">
        <v>18</v>
      </c>
      <c r="G293">
        <v>0.93</v>
      </c>
      <c r="H293">
        <v>2.79</v>
      </c>
      <c r="I293">
        <v>0</v>
      </c>
      <c r="J293">
        <v>4.2</v>
      </c>
      <c r="K293">
        <v>780580.95</v>
      </c>
      <c r="L293">
        <v>138144.46</v>
      </c>
      <c r="M293">
        <f t="shared" si="12"/>
        <v>0</v>
      </c>
      <c r="N293">
        <f t="shared" si="13"/>
        <v>0</v>
      </c>
      <c r="O293">
        <f t="shared" si="14"/>
        <v>1</v>
      </c>
      <c r="P293">
        <v>31997.25</v>
      </c>
      <c r="Q293">
        <v>8183</v>
      </c>
    </row>
    <row r="294" spans="1:17">
      <c r="A294" t="s">
        <v>24</v>
      </c>
      <c r="B294" t="s">
        <v>16</v>
      </c>
      <c r="C294">
        <v>54948.02</v>
      </c>
      <c r="D294">
        <v>6534</v>
      </c>
      <c r="E294">
        <v>0.183</v>
      </c>
      <c r="F294">
        <v>14</v>
      </c>
      <c r="G294">
        <v>0.94499999999999995</v>
      </c>
      <c r="H294">
        <v>1.56</v>
      </c>
      <c r="I294">
        <v>0</v>
      </c>
      <c r="J294">
        <v>4</v>
      </c>
      <c r="K294">
        <v>727957.48</v>
      </c>
      <c r="L294">
        <v>74805.23</v>
      </c>
      <c r="M294">
        <f t="shared" si="12"/>
        <v>0</v>
      </c>
      <c r="N294">
        <f t="shared" si="13"/>
        <v>0</v>
      </c>
      <c r="O294">
        <f t="shared" si="14"/>
        <v>0</v>
      </c>
      <c r="P294">
        <v>54948.02</v>
      </c>
      <c r="Q294">
        <v>6534</v>
      </c>
    </row>
    <row r="295" spans="1:17">
      <c r="A295" t="s">
        <v>24</v>
      </c>
      <c r="B295" t="s">
        <v>16</v>
      </c>
      <c r="C295">
        <v>46146.239999999998</v>
      </c>
      <c r="D295">
        <v>5804</v>
      </c>
      <c r="E295">
        <v>4.7E-2</v>
      </c>
      <c r="F295">
        <v>16</v>
      </c>
      <c r="G295">
        <v>0.86900000000000011</v>
      </c>
      <c r="H295">
        <v>15.82</v>
      </c>
      <c r="I295">
        <v>0</v>
      </c>
      <c r="J295">
        <v>3.8</v>
      </c>
      <c r="K295">
        <v>538376</v>
      </c>
      <c r="L295">
        <v>87605.62</v>
      </c>
      <c r="M295">
        <f t="shared" si="12"/>
        <v>0</v>
      </c>
      <c r="N295">
        <f t="shared" si="13"/>
        <v>0</v>
      </c>
      <c r="O295">
        <f t="shared" si="14"/>
        <v>0</v>
      </c>
      <c r="P295">
        <v>46146.239999999998</v>
      </c>
      <c r="Q295">
        <v>5804</v>
      </c>
    </row>
    <row r="296" spans="1:17">
      <c r="A296" t="s">
        <v>24</v>
      </c>
      <c r="B296" t="s">
        <v>16</v>
      </c>
      <c r="C296">
        <v>22387.26</v>
      </c>
      <c r="D296">
        <v>6301</v>
      </c>
      <c r="E296">
        <v>0.14599999999999999</v>
      </c>
      <c r="F296">
        <v>14</v>
      </c>
      <c r="G296">
        <v>0.8590000000000001</v>
      </c>
      <c r="H296">
        <v>1.17</v>
      </c>
      <c r="I296">
        <v>1</v>
      </c>
      <c r="J296">
        <v>3.7</v>
      </c>
      <c r="K296">
        <v>665342.49</v>
      </c>
      <c r="L296">
        <v>93441.81</v>
      </c>
      <c r="M296">
        <f t="shared" si="12"/>
        <v>0</v>
      </c>
      <c r="N296">
        <f t="shared" si="13"/>
        <v>0</v>
      </c>
      <c r="O296">
        <f t="shared" si="14"/>
        <v>0</v>
      </c>
      <c r="P296">
        <v>22387.26</v>
      </c>
      <c r="Q296">
        <v>6301</v>
      </c>
    </row>
    <row r="297" spans="1:17">
      <c r="A297" t="s">
        <v>24</v>
      </c>
      <c r="B297" t="s">
        <v>16</v>
      </c>
      <c r="C297">
        <v>60684.05</v>
      </c>
      <c r="D297">
        <v>6399</v>
      </c>
      <c r="E297">
        <v>7.4999999999999997E-2</v>
      </c>
      <c r="F297">
        <v>16</v>
      </c>
      <c r="G297">
        <v>0.99</v>
      </c>
      <c r="H297">
        <v>3.82</v>
      </c>
      <c r="I297">
        <v>0</v>
      </c>
      <c r="J297">
        <v>3.5</v>
      </c>
      <c r="K297">
        <v>651164.18000000005</v>
      </c>
      <c r="L297">
        <v>109466.5</v>
      </c>
      <c r="M297">
        <f t="shared" si="12"/>
        <v>0</v>
      </c>
      <c r="N297">
        <f t="shared" si="13"/>
        <v>0</v>
      </c>
      <c r="O297">
        <f t="shared" si="14"/>
        <v>0</v>
      </c>
      <c r="P297">
        <v>60684.05</v>
      </c>
      <c r="Q297">
        <v>6399</v>
      </c>
    </row>
    <row r="298" spans="1:17">
      <c r="A298" t="s">
        <v>24</v>
      </c>
      <c r="B298" t="s">
        <v>18</v>
      </c>
      <c r="C298">
        <v>48465.599999999999</v>
      </c>
      <c r="D298">
        <v>5759</v>
      </c>
      <c r="E298">
        <v>0.154</v>
      </c>
      <c r="F298">
        <v>13</v>
      </c>
      <c r="G298">
        <v>0.875</v>
      </c>
      <c r="H298">
        <v>4.1399999999999997</v>
      </c>
      <c r="I298">
        <v>0</v>
      </c>
      <c r="J298">
        <v>4</v>
      </c>
      <c r="K298">
        <v>628538.30000000005</v>
      </c>
      <c r="L298">
        <v>112509.15</v>
      </c>
      <c r="M298">
        <f t="shared" si="12"/>
        <v>1</v>
      </c>
      <c r="N298">
        <f t="shared" si="13"/>
        <v>0</v>
      </c>
      <c r="O298">
        <f t="shared" si="14"/>
        <v>0</v>
      </c>
      <c r="P298">
        <v>48465.599999999999</v>
      </c>
      <c r="Q298">
        <v>5759</v>
      </c>
    </row>
    <row r="299" spans="1:17">
      <c r="A299" t="s">
        <v>24</v>
      </c>
      <c r="B299" t="s">
        <v>18</v>
      </c>
      <c r="C299">
        <v>23702.38</v>
      </c>
      <c r="D299">
        <v>5285</v>
      </c>
      <c r="E299">
        <v>0.16700000000000001</v>
      </c>
      <c r="F299">
        <v>14</v>
      </c>
      <c r="G299">
        <v>0.79700000000000004</v>
      </c>
      <c r="H299">
        <v>1.1000000000000001</v>
      </c>
      <c r="I299">
        <v>0</v>
      </c>
      <c r="J299">
        <v>4.3</v>
      </c>
      <c r="K299">
        <v>536524.84</v>
      </c>
      <c r="L299">
        <v>92752.94</v>
      </c>
      <c r="M299">
        <f t="shared" si="12"/>
        <v>1</v>
      </c>
      <c r="N299">
        <f t="shared" si="13"/>
        <v>0</v>
      </c>
      <c r="O299">
        <f t="shared" si="14"/>
        <v>0</v>
      </c>
      <c r="P299">
        <v>23702.38</v>
      </c>
      <c r="Q299">
        <v>5285</v>
      </c>
    </row>
    <row r="300" spans="1:17">
      <c r="A300" t="s">
        <v>24</v>
      </c>
      <c r="B300" t="s">
        <v>18</v>
      </c>
      <c r="C300">
        <v>54322.94</v>
      </c>
      <c r="D300">
        <v>5434</v>
      </c>
      <c r="E300">
        <v>0.2</v>
      </c>
      <c r="F300">
        <v>13</v>
      </c>
      <c r="G300">
        <v>0.85699999999999998</v>
      </c>
      <c r="H300">
        <v>10.6</v>
      </c>
      <c r="I300">
        <v>0</v>
      </c>
      <c r="J300">
        <v>4.2</v>
      </c>
      <c r="K300">
        <v>621677.30000000005</v>
      </c>
      <c r="L300">
        <v>105192.52</v>
      </c>
      <c r="M300">
        <f t="shared" si="12"/>
        <v>1</v>
      </c>
      <c r="N300">
        <f t="shared" si="13"/>
        <v>0</v>
      </c>
      <c r="O300">
        <f t="shared" si="14"/>
        <v>0</v>
      </c>
      <c r="P300">
        <v>54322.94</v>
      </c>
      <c r="Q300">
        <v>5434</v>
      </c>
    </row>
    <row r="301" spans="1:17">
      <c r="A301" t="s">
        <v>20</v>
      </c>
      <c r="B301" t="s">
        <v>16</v>
      </c>
      <c r="C301">
        <v>78967.520000000004</v>
      </c>
      <c r="D301">
        <v>6164</v>
      </c>
      <c r="E301">
        <v>2.1000000000000001E-2</v>
      </c>
      <c r="F301">
        <v>16</v>
      </c>
      <c r="G301">
        <v>0.85499999999999998</v>
      </c>
      <c r="H301">
        <v>0.2</v>
      </c>
      <c r="I301">
        <v>0</v>
      </c>
      <c r="J301">
        <v>3.4</v>
      </c>
      <c r="K301">
        <v>702052.47</v>
      </c>
      <c r="L301">
        <v>121732.51</v>
      </c>
      <c r="M301">
        <f t="shared" si="12"/>
        <v>0</v>
      </c>
      <c r="N301">
        <f t="shared" si="13"/>
        <v>0</v>
      </c>
      <c r="O301">
        <f t="shared" si="14"/>
        <v>0</v>
      </c>
      <c r="P301">
        <v>78967.520000000004</v>
      </c>
      <c r="Q301">
        <v>6164</v>
      </c>
    </row>
    <row r="302" spans="1:17">
      <c r="A302" t="s">
        <v>20</v>
      </c>
      <c r="B302" t="s">
        <v>16</v>
      </c>
      <c r="C302">
        <v>62507.16</v>
      </c>
      <c r="D302">
        <v>6000</v>
      </c>
      <c r="E302">
        <v>9.0999999999999998E-2</v>
      </c>
      <c r="F302">
        <v>14</v>
      </c>
      <c r="G302">
        <v>0.98199999999999998</v>
      </c>
      <c r="H302">
        <v>4.38</v>
      </c>
      <c r="I302">
        <v>1</v>
      </c>
      <c r="J302">
        <v>3.9</v>
      </c>
      <c r="K302">
        <v>712375.77</v>
      </c>
      <c r="L302">
        <v>104171.53</v>
      </c>
      <c r="M302">
        <f t="shared" si="12"/>
        <v>0</v>
      </c>
      <c r="N302">
        <f t="shared" si="13"/>
        <v>0</v>
      </c>
      <c r="O302">
        <f t="shared" si="14"/>
        <v>0</v>
      </c>
      <c r="P302">
        <v>62507.16</v>
      </c>
      <c r="Q302">
        <v>6000</v>
      </c>
    </row>
    <row r="303" spans="1:17">
      <c r="A303" t="s">
        <v>20</v>
      </c>
      <c r="B303" t="s">
        <v>16</v>
      </c>
      <c r="C303">
        <v>66456.28</v>
      </c>
      <c r="D303">
        <v>9967</v>
      </c>
      <c r="E303">
        <v>0.108</v>
      </c>
      <c r="F303">
        <v>20</v>
      </c>
      <c r="G303">
        <v>0.94700000000000006</v>
      </c>
      <c r="H303">
        <v>4.4800000000000004</v>
      </c>
      <c r="I303">
        <v>0</v>
      </c>
      <c r="J303">
        <v>4.2</v>
      </c>
      <c r="K303">
        <v>844710.67</v>
      </c>
      <c r="L303">
        <v>137140.18</v>
      </c>
      <c r="M303">
        <f t="shared" si="12"/>
        <v>0</v>
      </c>
      <c r="N303">
        <f t="shared" si="13"/>
        <v>0</v>
      </c>
      <c r="O303">
        <f t="shared" si="14"/>
        <v>0</v>
      </c>
      <c r="P303">
        <v>66456.28</v>
      </c>
      <c r="Q303">
        <v>9967</v>
      </c>
    </row>
    <row r="304" spans="1:17">
      <c r="A304" t="s">
        <v>15</v>
      </c>
      <c r="B304" t="s">
        <v>16</v>
      </c>
      <c r="C304">
        <v>76614.320000000007</v>
      </c>
      <c r="D304">
        <v>5639</v>
      </c>
      <c r="E304">
        <v>0.17399999999999999</v>
      </c>
      <c r="F304">
        <v>15</v>
      </c>
      <c r="G304">
        <v>0.92900000000000005</v>
      </c>
      <c r="H304">
        <v>1.02</v>
      </c>
      <c r="I304">
        <v>1</v>
      </c>
      <c r="J304">
        <v>4</v>
      </c>
      <c r="K304">
        <v>620264.19999999995</v>
      </c>
      <c r="L304">
        <v>91365.64</v>
      </c>
      <c r="M304">
        <f t="shared" si="12"/>
        <v>0</v>
      </c>
      <c r="N304">
        <f t="shared" si="13"/>
        <v>0</v>
      </c>
      <c r="O304">
        <f t="shared" si="14"/>
        <v>0</v>
      </c>
      <c r="P304">
        <v>76614.320000000007</v>
      </c>
      <c r="Q304">
        <v>5639</v>
      </c>
    </row>
    <row r="305" spans="1:17">
      <c r="A305" t="s">
        <v>15</v>
      </c>
      <c r="B305" t="s">
        <v>16</v>
      </c>
      <c r="C305">
        <v>24088.06</v>
      </c>
      <c r="D305">
        <v>3466</v>
      </c>
      <c r="E305">
        <v>0</v>
      </c>
      <c r="F305">
        <v>11</v>
      </c>
      <c r="G305">
        <v>0.88</v>
      </c>
      <c r="H305">
        <v>0.2</v>
      </c>
      <c r="I305">
        <v>0</v>
      </c>
      <c r="J305">
        <v>3.8</v>
      </c>
      <c r="K305">
        <v>536845.42000000004</v>
      </c>
      <c r="L305">
        <v>107473.75</v>
      </c>
      <c r="M305">
        <f t="shared" si="12"/>
        <v>0</v>
      </c>
      <c r="N305">
        <f t="shared" si="13"/>
        <v>0</v>
      </c>
      <c r="O305">
        <f t="shared" si="14"/>
        <v>0</v>
      </c>
      <c r="P305">
        <v>24088.06</v>
      </c>
      <c r="Q305">
        <v>3466</v>
      </c>
    </row>
    <row r="306" spans="1:17">
      <c r="A306" t="s">
        <v>15</v>
      </c>
      <c r="B306" t="s">
        <v>16</v>
      </c>
      <c r="C306">
        <v>81902.58</v>
      </c>
      <c r="D306">
        <v>7775</v>
      </c>
      <c r="E306">
        <v>0.215</v>
      </c>
      <c r="F306">
        <v>20</v>
      </c>
      <c r="G306">
        <v>0.85199999999999998</v>
      </c>
      <c r="H306">
        <v>4.8899999999999997</v>
      </c>
      <c r="I306">
        <v>1</v>
      </c>
      <c r="J306">
        <v>4.2</v>
      </c>
      <c r="K306">
        <v>726776.22</v>
      </c>
      <c r="L306">
        <v>90804.49</v>
      </c>
      <c r="M306">
        <f t="shared" si="12"/>
        <v>0</v>
      </c>
      <c r="N306">
        <f t="shared" si="13"/>
        <v>0</v>
      </c>
      <c r="O306">
        <f t="shared" si="14"/>
        <v>0</v>
      </c>
      <c r="P306">
        <v>81902.58</v>
      </c>
      <c r="Q306">
        <v>7775</v>
      </c>
    </row>
    <row r="307" spans="1:17">
      <c r="A307" t="s">
        <v>15</v>
      </c>
      <c r="B307" t="s">
        <v>16</v>
      </c>
      <c r="C307">
        <v>40553.11</v>
      </c>
      <c r="D307">
        <v>5317</v>
      </c>
      <c r="E307">
        <v>0.16500000000000001</v>
      </c>
      <c r="F307">
        <v>17</v>
      </c>
      <c r="G307">
        <v>0.84299999999999997</v>
      </c>
      <c r="H307">
        <v>11.82</v>
      </c>
      <c r="I307">
        <v>0</v>
      </c>
      <c r="J307">
        <v>4.0999999999999996</v>
      </c>
      <c r="K307">
        <v>559660.84</v>
      </c>
      <c r="L307">
        <v>71443.61</v>
      </c>
      <c r="M307">
        <f t="shared" si="12"/>
        <v>0</v>
      </c>
      <c r="N307">
        <f t="shared" si="13"/>
        <v>0</v>
      </c>
      <c r="O307">
        <f t="shared" si="14"/>
        <v>0</v>
      </c>
      <c r="P307">
        <v>40553.11</v>
      </c>
      <c r="Q307">
        <v>5317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87DD8-463A-4011-A052-53D008563E3A}">
  <dimension ref="A1:I39"/>
  <sheetViews>
    <sheetView zoomScale="85" zoomScaleNormal="85" workbookViewId="0">
      <selection activeCell="J32" sqref="J32"/>
    </sheetView>
  </sheetViews>
  <sheetFormatPr defaultRowHeight="13.8"/>
  <cols>
    <col min="1" max="1" width="18.296875" bestFit="1" customWidth="1"/>
    <col min="2" max="2" width="11.8984375" bestFit="1" customWidth="1"/>
    <col min="3" max="3" width="13.3984375" bestFit="1" customWidth="1"/>
    <col min="6" max="6" width="13.09765625" bestFit="1" customWidth="1"/>
    <col min="7" max="7" width="11.8984375" bestFit="1" customWidth="1"/>
    <col min="8" max="8" width="12.69921875" bestFit="1" customWidth="1"/>
    <col min="9" max="9" width="12" bestFit="1" customWidth="1"/>
  </cols>
  <sheetData>
    <row r="1" spans="1:9" ht="17.399999999999999">
      <c r="A1" s="9" t="s">
        <v>144</v>
      </c>
    </row>
    <row r="2" spans="1:9" ht="14.4" thickBot="1"/>
    <row r="3" spans="1:9" ht="14.4">
      <c r="A3" s="7" t="s">
        <v>119</v>
      </c>
      <c r="B3" s="7"/>
      <c r="C3" s="1"/>
      <c r="D3" s="1"/>
      <c r="E3" s="1"/>
      <c r="F3" s="1"/>
      <c r="G3" s="1"/>
      <c r="H3" s="1"/>
      <c r="I3" s="1"/>
    </row>
    <row r="4" spans="1:9">
      <c r="A4" s="1" t="s">
        <v>120</v>
      </c>
      <c r="B4" s="1">
        <v>0.39677003572023367</v>
      </c>
      <c r="C4" s="1"/>
      <c r="D4" s="1"/>
      <c r="E4" s="1"/>
      <c r="F4" s="1"/>
      <c r="G4" s="1"/>
      <c r="H4" s="1"/>
      <c r="I4" s="1"/>
    </row>
    <row r="5" spans="1:9">
      <c r="A5" s="1" t="s">
        <v>121</v>
      </c>
      <c r="B5" s="1">
        <v>0.15742646124543552</v>
      </c>
      <c r="C5" s="1"/>
      <c r="D5" s="1"/>
      <c r="E5" s="1"/>
      <c r="F5" s="1"/>
      <c r="G5" s="1"/>
      <c r="H5" s="1"/>
      <c r="I5" s="1"/>
    </row>
    <row r="6" spans="1:9">
      <c r="A6" s="1" t="s">
        <v>122</v>
      </c>
      <c r="B6" s="1">
        <v>0.15465483776269026</v>
      </c>
      <c r="C6" s="1"/>
      <c r="D6" s="1"/>
      <c r="E6" s="1"/>
      <c r="F6" s="1"/>
      <c r="G6" s="1"/>
      <c r="H6" s="1"/>
      <c r="I6" s="1"/>
    </row>
    <row r="7" spans="1:9">
      <c r="A7" s="1" t="s">
        <v>123</v>
      </c>
      <c r="B7" s="1">
        <v>94635.423763365616</v>
      </c>
      <c r="C7" s="1"/>
      <c r="D7" s="1"/>
      <c r="E7" s="1"/>
      <c r="F7" s="1"/>
      <c r="G7" s="1"/>
      <c r="H7" s="1"/>
      <c r="I7" s="1"/>
    </row>
    <row r="8" spans="1:9" ht="14.4" thickBot="1">
      <c r="A8" s="5" t="s">
        <v>124</v>
      </c>
      <c r="B8" s="5">
        <v>306</v>
      </c>
      <c r="C8" s="1"/>
      <c r="D8" s="1"/>
      <c r="E8" s="1"/>
      <c r="F8" s="1"/>
      <c r="G8" s="1"/>
      <c r="H8" s="1"/>
      <c r="I8" s="1"/>
    </row>
    <row r="9" spans="1:9">
      <c r="A9" s="1"/>
      <c r="B9" s="1"/>
      <c r="C9" s="1"/>
      <c r="D9" s="1"/>
      <c r="E9" s="1"/>
      <c r="F9" s="1"/>
      <c r="G9" s="1"/>
      <c r="H9" s="1"/>
      <c r="I9" s="1"/>
    </row>
    <row r="10" spans="1:9" ht="14.4" thickBot="1">
      <c r="A10" s="1" t="s">
        <v>125</v>
      </c>
      <c r="B10" s="1"/>
      <c r="C10" s="1"/>
      <c r="D10" s="1"/>
      <c r="E10" s="1"/>
      <c r="F10" s="1"/>
      <c r="G10" s="1"/>
      <c r="H10" s="1"/>
      <c r="I10" s="1"/>
    </row>
    <row r="11" spans="1:9" ht="14.4">
      <c r="A11" s="6"/>
      <c r="B11" s="6" t="s">
        <v>130</v>
      </c>
      <c r="C11" s="6" t="s">
        <v>131</v>
      </c>
      <c r="D11" s="6" t="s">
        <v>132</v>
      </c>
      <c r="E11" s="6" t="s">
        <v>133</v>
      </c>
      <c r="F11" s="6" t="s">
        <v>134</v>
      </c>
      <c r="G11" s="1"/>
      <c r="H11" s="1"/>
      <c r="I11" s="1"/>
    </row>
    <row r="12" spans="1:9">
      <c r="A12" s="1" t="s">
        <v>126</v>
      </c>
      <c r="B12" s="1">
        <v>1</v>
      </c>
      <c r="C12" s="1">
        <v>508687379832.36523</v>
      </c>
      <c r="D12" s="1">
        <v>508687379832.36523</v>
      </c>
      <c r="E12" s="1">
        <v>56.799367672229948</v>
      </c>
      <c r="F12" s="1">
        <v>5.5808922954192511E-13</v>
      </c>
      <c r="G12" s="1"/>
      <c r="H12" s="1"/>
      <c r="I12" s="1"/>
    </row>
    <row r="13" spans="1:9">
      <c r="A13" s="1" t="s">
        <v>127</v>
      </c>
      <c r="B13" s="1">
        <v>304</v>
      </c>
      <c r="C13" s="1">
        <v>2722582482985.0225</v>
      </c>
      <c r="D13" s="1">
        <v>8955863430.8717842</v>
      </c>
      <c r="E13" s="1"/>
      <c r="F13" s="1"/>
      <c r="G13" s="1"/>
      <c r="H13" s="1"/>
      <c r="I13" s="1"/>
    </row>
    <row r="14" spans="1:9" ht="14.4" thickBot="1">
      <c r="A14" s="5" t="s">
        <v>128</v>
      </c>
      <c r="B14" s="5">
        <v>305</v>
      </c>
      <c r="C14" s="5">
        <v>3231269862817.3877</v>
      </c>
      <c r="D14" s="5"/>
      <c r="E14" s="5"/>
      <c r="F14" s="5"/>
      <c r="G14" s="1"/>
      <c r="H14" s="1"/>
      <c r="I14" s="1"/>
    </row>
    <row r="15" spans="1:9" ht="14.4" thickBot="1">
      <c r="A15" s="1"/>
      <c r="B15" s="1"/>
      <c r="C15" s="1"/>
      <c r="D15" s="1"/>
      <c r="E15" s="1"/>
      <c r="F15" s="1"/>
      <c r="G15" s="1"/>
      <c r="H15" s="1"/>
      <c r="I15" s="1"/>
    </row>
    <row r="16" spans="1:9" ht="14.4">
      <c r="A16" s="6"/>
      <c r="B16" s="6" t="s">
        <v>135</v>
      </c>
      <c r="C16" s="6" t="s">
        <v>123</v>
      </c>
      <c r="D16" s="6" t="s">
        <v>136</v>
      </c>
      <c r="E16" s="6" t="s">
        <v>137</v>
      </c>
      <c r="F16" s="6" t="s">
        <v>138</v>
      </c>
      <c r="G16" s="6" t="s">
        <v>139</v>
      </c>
      <c r="H16" s="6" t="s">
        <v>140</v>
      </c>
      <c r="I16" s="6" t="s">
        <v>141</v>
      </c>
    </row>
    <row r="17" spans="1:9">
      <c r="A17" s="1" t="s">
        <v>129</v>
      </c>
      <c r="B17" s="1">
        <v>567463.56033652381</v>
      </c>
      <c r="C17" s="1">
        <v>16298.145715224813</v>
      </c>
      <c r="D17" s="1">
        <v>34.817676210026221</v>
      </c>
      <c r="E17" s="1">
        <v>4.2374507868026198E-108</v>
      </c>
      <c r="F17" s="1">
        <v>535392.09950096905</v>
      </c>
      <c r="G17" s="1">
        <v>599535.02117207856</v>
      </c>
      <c r="H17" s="1">
        <v>535392.09950096905</v>
      </c>
      <c r="I17" s="1">
        <v>599535.02117207856</v>
      </c>
    </row>
    <row r="18" spans="1:9">
      <c r="A18" s="8" t="s">
        <v>4</v>
      </c>
      <c r="B18" s="8">
        <v>2.0519315848668951</v>
      </c>
      <c r="C18" s="8">
        <v>0.27226456757427608</v>
      </c>
      <c r="D18" s="8">
        <v>7.5365355218582044</v>
      </c>
      <c r="E18" s="8">
        <v>5.580892295417896E-13</v>
      </c>
      <c r="F18" s="8">
        <v>1.5161698750111063</v>
      </c>
      <c r="G18" s="8">
        <v>2.5876932947226838</v>
      </c>
      <c r="H18" s="8">
        <v>1.5161698750111063</v>
      </c>
      <c r="I18" s="8">
        <v>2.5876932947226838</v>
      </c>
    </row>
    <row r="22" spans="1:9" ht="17.399999999999999">
      <c r="A22" s="9" t="s">
        <v>145</v>
      </c>
    </row>
    <row r="23" spans="1:9" ht="14.4" thickBot="1"/>
    <row r="24" spans="1:9" ht="14.4">
      <c r="A24" s="7" t="s">
        <v>119</v>
      </c>
      <c r="B24" s="7"/>
    </row>
    <row r="25" spans="1:9">
      <c r="A25" s="1" t="s">
        <v>120</v>
      </c>
      <c r="B25" s="1">
        <v>0.85722993840841222</v>
      </c>
    </row>
    <row r="26" spans="1:9">
      <c r="A26" s="1" t="s">
        <v>121</v>
      </c>
      <c r="B26" s="1">
        <v>0.73484316730369015</v>
      </c>
    </row>
    <row r="27" spans="1:9">
      <c r="A27" s="1" t="s">
        <v>122</v>
      </c>
      <c r="B27" s="1">
        <v>0.73397094088034698</v>
      </c>
    </row>
    <row r="28" spans="1:9">
      <c r="A28" s="1" t="s">
        <v>123</v>
      </c>
      <c r="B28" s="1">
        <v>53088.595341199594</v>
      </c>
    </row>
    <row r="29" spans="1:9" ht="14.4" thickBot="1">
      <c r="A29" s="5" t="s">
        <v>124</v>
      </c>
      <c r="B29" s="5">
        <v>306</v>
      </c>
    </row>
    <row r="31" spans="1:9" ht="14.4" thickBot="1">
      <c r="A31" t="s">
        <v>125</v>
      </c>
    </row>
    <row r="32" spans="1:9" ht="14.4">
      <c r="A32" s="6"/>
      <c r="B32" s="6" t="s">
        <v>130</v>
      </c>
      <c r="C32" s="6" t="s">
        <v>131</v>
      </c>
      <c r="D32" s="6" t="s">
        <v>132</v>
      </c>
      <c r="E32" s="6" t="s">
        <v>133</v>
      </c>
      <c r="F32" s="6" t="s">
        <v>134</v>
      </c>
    </row>
    <row r="33" spans="1:9">
      <c r="A33" s="1" t="s">
        <v>126</v>
      </c>
      <c r="B33" s="1">
        <v>1</v>
      </c>
      <c r="C33" s="1">
        <v>2374476580405.6895</v>
      </c>
      <c r="D33" s="1">
        <v>2374476580405.6895</v>
      </c>
      <c r="E33" s="1">
        <v>842.491293129067</v>
      </c>
      <c r="F33" s="1">
        <v>1.255935145737178E-89</v>
      </c>
    </row>
    <row r="34" spans="1:9">
      <c r="A34" s="1" t="s">
        <v>127</v>
      </c>
      <c r="B34" s="1">
        <v>304</v>
      </c>
      <c r="C34" s="1">
        <v>856793282411.69824</v>
      </c>
      <c r="D34" s="1">
        <v>2818398955.3016391</v>
      </c>
      <c r="E34" s="1"/>
      <c r="F34" s="1"/>
    </row>
    <row r="35" spans="1:9" ht="14.4" thickBot="1">
      <c r="A35" s="5" t="s">
        <v>128</v>
      </c>
      <c r="B35" s="5">
        <v>305</v>
      </c>
      <c r="C35" s="5">
        <v>3231269862817.3877</v>
      </c>
      <c r="D35" s="5"/>
      <c r="E35" s="5"/>
      <c r="F35" s="5"/>
    </row>
    <row r="36" spans="1:9" ht="14.4" thickBot="1"/>
    <row r="37" spans="1:9" ht="14.4">
      <c r="A37" s="6"/>
      <c r="B37" s="6" t="s">
        <v>135</v>
      </c>
      <c r="C37" s="6" t="s">
        <v>123</v>
      </c>
      <c r="D37" s="6" t="s">
        <v>136</v>
      </c>
      <c r="E37" s="6" t="s">
        <v>137</v>
      </c>
      <c r="F37" s="6" t="s">
        <v>138</v>
      </c>
      <c r="G37" s="6" t="s">
        <v>139</v>
      </c>
      <c r="H37" s="6" t="s">
        <v>140</v>
      </c>
      <c r="I37" s="6" t="s">
        <v>141</v>
      </c>
    </row>
    <row r="38" spans="1:9">
      <c r="A38" s="1" t="s">
        <v>129</v>
      </c>
      <c r="B38" s="1">
        <v>447699.03273727826</v>
      </c>
      <c r="C38" s="1">
        <v>8666.7757303287708</v>
      </c>
      <c r="D38" s="1">
        <v>51.656930635759622</v>
      </c>
      <c r="E38" s="1">
        <v>1.4690618765853249E-152</v>
      </c>
      <c r="F38" s="1">
        <v>430644.56756912573</v>
      </c>
      <c r="G38" s="1">
        <v>464753.49790543079</v>
      </c>
      <c r="H38" s="1">
        <v>430644.56756912573</v>
      </c>
      <c r="I38" s="1">
        <v>464753.49790543079</v>
      </c>
    </row>
    <row r="39" spans="1:9" ht="14.4" thickBot="1">
      <c r="A39" s="5" t="s">
        <v>5</v>
      </c>
      <c r="B39" s="5">
        <v>35.641530919901079</v>
      </c>
      <c r="C39" s="5">
        <v>1.2279300836673843</v>
      </c>
      <c r="D39" s="5">
        <v>29.025700562244293</v>
      </c>
      <c r="E39" s="5">
        <v>1.2559351457369634E-89</v>
      </c>
      <c r="F39" s="5">
        <v>33.225212384329886</v>
      </c>
      <c r="G39" s="5">
        <v>38.057849455472272</v>
      </c>
      <c r="H39" s="5">
        <v>33.225212384329886</v>
      </c>
      <c r="I39" s="5">
        <v>38.057849455472272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AD56C-1509-4DA8-A128-FFC5B9248374}">
  <dimension ref="A2:I24"/>
  <sheetViews>
    <sheetView workbookViewId="0">
      <selection activeCell="G27" sqref="G27"/>
    </sheetView>
  </sheetViews>
  <sheetFormatPr defaultRowHeight="13.8"/>
  <cols>
    <col min="1" max="1" width="16" bestFit="1" customWidth="1"/>
    <col min="2" max="2" width="11.8984375" bestFit="1" customWidth="1"/>
    <col min="3" max="3" width="13.3984375" bestFit="1" customWidth="1"/>
    <col min="6" max="6" width="13.09765625" bestFit="1" customWidth="1"/>
    <col min="8" max="9" width="12" bestFit="1" customWidth="1"/>
  </cols>
  <sheetData>
    <row r="2" spans="1:6" ht="17.399999999999999">
      <c r="A2" s="9" t="s">
        <v>146</v>
      </c>
      <c r="C2" s="9"/>
    </row>
    <row r="4" spans="1:6" ht="14.4" thickBot="1"/>
    <row r="5" spans="1:6" ht="14.4">
      <c r="A5" s="7" t="s">
        <v>119</v>
      </c>
      <c r="B5" s="7"/>
    </row>
    <row r="6" spans="1:6">
      <c r="A6" s="1" t="s">
        <v>120</v>
      </c>
      <c r="B6" s="1">
        <v>0.89054387879945363</v>
      </c>
    </row>
    <row r="7" spans="1:6">
      <c r="A7" s="1" t="s">
        <v>121</v>
      </c>
      <c r="B7" s="1">
        <v>0.79306840006717594</v>
      </c>
    </row>
    <row r="8" spans="1:6">
      <c r="A8" s="1" t="s">
        <v>122</v>
      </c>
      <c r="B8" s="1">
        <v>0.7896195400682956</v>
      </c>
    </row>
    <row r="9" spans="1:6">
      <c r="A9" s="1" t="s">
        <v>123</v>
      </c>
      <c r="B9" s="1">
        <v>47210.586472651776</v>
      </c>
    </row>
    <row r="10" spans="1:6" ht="14.4" thickBot="1">
      <c r="A10" s="5" t="s">
        <v>124</v>
      </c>
      <c r="B10" s="5">
        <v>306</v>
      </c>
    </row>
    <row r="12" spans="1:6" ht="14.4" thickBot="1">
      <c r="A12" t="s">
        <v>125</v>
      </c>
    </row>
    <row r="13" spans="1:6" ht="14.4">
      <c r="A13" s="6"/>
      <c r="B13" s="6" t="s">
        <v>130</v>
      </c>
      <c r="C13" s="6" t="s">
        <v>131</v>
      </c>
      <c r="D13" s="6" t="s">
        <v>132</v>
      </c>
      <c r="E13" s="6" t="s">
        <v>133</v>
      </c>
      <c r="F13" s="6" t="s">
        <v>134</v>
      </c>
    </row>
    <row r="14" spans="1:6">
      <c r="A14" s="1" t="s">
        <v>126</v>
      </c>
      <c r="B14" s="1">
        <v>5</v>
      </c>
      <c r="C14" s="1">
        <v>2562618020289.8687</v>
      </c>
      <c r="D14" s="1">
        <v>512523604057.97375</v>
      </c>
      <c r="E14" s="1">
        <v>229.95088241466121</v>
      </c>
      <c r="F14" s="1">
        <v>2.3443307627755511E-100</v>
      </c>
    </row>
    <row r="15" spans="1:6">
      <c r="A15" s="1" t="s">
        <v>127</v>
      </c>
      <c r="B15" s="1">
        <v>300</v>
      </c>
      <c r="C15" s="1">
        <v>668651842527.51917</v>
      </c>
      <c r="D15" s="1">
        <v>2228839475.0917306</v>
      </c>
      <c r="E15" s="1"/>
      <c r="F15" s="1"/>
    </row>
    <row r="16" spans="1:6" ht="14.4" thickBot="1">
      <c r="A16" s="5" t="s">
        <v>128</v>
      </c>
      <c r="B16" s="5">
        <v>305</v>
      </c>
      <c r="C16" s="5">
        <v>3231269862817.3877</v>
      </c>
      <c r="D16" s="5"/>
      <c r="E16" s="5"/>
      <c r="F16" s="5"/>
    </row>
    <row r="17" spans="1:9" ht="14.4" thickBot="1"/>
    <row r="18" spans="1:9" ht="14.4">
      <c r="A18" s="6"/>
      <c r="B18" s="6" t="s">
        <v>135</v>
      </c>
      <c r="C18" s="6" t="s">
        <v>123</v>
      </c>
      <c r="D18" s="6" t="s">
        <v>136</v>
      </c>
      <c r="E18" s="6" t="s">
        <v>137</v>
      </c>
      <c r="F18" s="6" t="s">
        <v>138</v>
      </c>
      <c r="G18" s="6" t="s">
        <v>139</v>
      </c>
      <c r="H18" s="6" t="s">
        <v>140</v>
      </c>
      <c r="I18" s="6" t="s">
        <v>141</v>
      </c>
    </row>
    <row r="19" spans="1:9">
      <c r="A19" s="1" t="s">
        <v>129</v>
      </c>
      <c r="B19" s="1">
        <v>382891.95612598734</v>
      </c>
      <c r="C19" s="1">
        <v>10855.282639894622</v>
      </c>
      <c r="D19" s="1">
        <v>35.272407806205614</v>
      </c>
      <c r="E19" s="1">
        <v>9.433028891220612E-109</v>
      </c>
      <c r="F19" s="1">
        <v>361529.8127308485</v>
      </c>
      <c r="G19" s="1">
        <v>404254.09952112619</v>
      </c>
      <c r="H19" s="1">
        <v>361529.8127308485</v>
      </c>
      <c r="I19" s="1">
        <v>404254.09952112619</v>
      </c>
    </row>
    <row r="20" spans="1:9">
      <c r="A20" s="1" t="s">
        <v>142</v>
      </c>
      <c r="B20" s="1">
        <v>14198.211183242351</v>
      </c>
      <c r="C20" s="1">
        <v>6647.4196968667939</v>
      </c>
      <c r="D20" s="1">
        <v>2.1358981124562604</v>
      </c>
      <c r="E20" s="1">
        <v>3.349709753545585E-2</v>
      </c>
      <c r="F20" s="1">
        <v>1116.7339446619262</v>
      </c>
      <c r="G20" s="1">
        <v>27279.688421822775</v>
      </c>
      <c r="H20" s="1">
        <v>1116.7339446619262</v>
      </c>
      <c r="I20" s="1">
        <v>27279.688421822775</v>
      </c>
    </row>
    <row r="21" spans="1:9">
      <c r="A21" s="1" t="s">
        <v>118</v>
      </c>
      <c r="B21" s="1">
        <v>34324.467587735468</v>
      </c>
      <c r="C21" s="1">
        <v>10142.444535527062</v>
      </c>
      <c r="D21" s="1">
        <v>3.3842401077475315</v>
      </c>
      <c r="E21" s="1">
        <v>8.0867754660235501E-4</v>
      </c>
      <c r="F21" s="1">
        <v>14365.120444723208</v>
      </c>
      <c r="G21" s="1">
        <v>54283.814730747727</v>
      </c>
      <c r="H21" s="1">
        <v>14365.120444723208</v>
      </c>
      <c r="I21" s="1">
        <v>54283.814730747727</v>
      </c>
    </row>
    <row r="22" spans="1:9">
      <c r="A22" s="1" t="s">
        <v>143</v>
      </c>
      <c r="B22" s="1">
        <v>23034.974938809723</v>
      </c>
      <c r="C22" s="1">
        <v>7304.2772286552245</v>
      </c>
      <c r="D22" s="1">
        <v>3.1536282396897257</v>
      </c>
      <c r="E22" s="1">
        <v>1.7759226507344085E-3</v>
      </c>
      <c r="F22" s="1">
        <v>8660.8657854533212</v>
      </c>
      <c r="G22" s="1">
        <v>37409.084092166122</v>
      </c>
      <c r="H22" s="1">
        <v>8660.8657854533212</v>
      </c>
      <c r="I22" s="1">
        <v>37409.084092166122</v>
      </c>
    </row>
    <row r="23" spans="1:9">
      <c r="A23" s="1" t="s">
        <v>4</v>
      </c>
      <c r="B23" s="1">
        <v>1.1453513118062961</v>
      </c>
      <c r="C23" s="1">
        <v>0.13915381462454846</v>
      </c>
      <c r="D23" s="1">
        <v>8.2308294235165143</v>
      </c>
      <c r="E23" s="1">
        <v>5.7556358022952623E-15</v>
      </c>
      <c r="F23" s="1">
        <v>0.87151010097818016</v>
      </c>
      <c r="G23" s="1">
        <v>1.419192522634412</v>
      </c>
      <c r="H23" s="1">
        <v>0.87151010097818016</v>
      </c>
      <c r="I23" s="1">
        <v>1.419192522634412</v>
      </c>
    </row>
    <row r="24" spans="1:9" ht="14.4" thickBot="1">
      <c r="A24" s="5" t="s">
        <v>5</v>
      </c>
      <c r="B24" s="5">
        <v>33.58585315987407</v>
      </c>
      <c r="C24" s="5">
        <v>1.1247711450399933</v>
      </c>
      <c r="D24" s="5">
        <v>29.860166050650118</v>
      </c>
      <c r="E24" s="5">
        <v>7.4561355825917782E-92</v>
      </c>
      <c r="F24" s="5">
        <v>31.372412636570285</v>
      </c>
      <c r="G24" s="5">
        <v>35.799293683177851</v>
      </c>
      <c r="H24" s="5">
        <v>31.372412636570285</v>
      </c>
      <c r="I24" s="5">
        <v>35.799293683177851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37BDC-829F-4455-9F32-79632100743D}">
  <dimension ref="A2:C310"/>
  <sheetViews>
    <sheetView zoomScaleNormal="100" workbookViewId="0">
      <selection activeCell="G9" sqref="G9"/>
    </sheetView>
  </sheetViews>
  <sheetFormatPr defaultRowHeight="13.8"/>
  <cols>
    <col min="1" max="1" width="9.8984375" bestFit="1" customWidth="1"/>
    <col min="2" max="2" width="23.296875" bestFit="1" customWidth="1"/>
    <col min="3" max="3" width="12.5" bestFit="1" customWidth="1"/>
  </cols>
  <sheetData>
    <row r="2" spans="1:3" ht="17.399999999999999">
      <c r="A2" s="10" t="s">
        <v>148</v>
      </c>
      <c r="B2" s="9"/>
    </row>
    <row r="3" spans="1:3" ht="17.399999999999999">
      <c r="A3" s="10"/>
      <c r="B3" s="9"/>
    </row>
    <row r="4" spans="1:3" ht="27.6">
      <c r="A4" s="2" t="s">
        <v>12</v>
      </c>
      <c r="B4" s="2" t="s">
        <v>149</v>
      </c>
      <c r="C4" s="2" t="s">
        <v>147</v>
      </c>
    </row>
    <row r="5" spans="1:3">
      <c r="A5">
        <v>658832.62</v>
      </c>
      <c r="B5" s="1">
        <v>742341.96853463957</v>
      </c>
      <c r="C5" s="1">
        <v>-83509.348534639576</v>
      </c>
    </row>
    <row r="6" spans="1:3">
      <c r="A6">
        <v>634436</v>
      </c>
      <c r="B6" s="1">
        <v>718133.42319904058</v>
      </c>
      <c r="C6" s="1">
        <v>-83697.423199040582</v>
      </c>
    </row>
    <row r="7" spans="1:3">
      <c r="A7">
        <v>678722.06</v>
      </c>
      <c r="B7" s="1">
        <v>757591.29094014876</v>
      </c>
      <c r="C7" s="1">
        <v>-78869.2309401487</v>
      </c>
    </row>
    <row r="8" spans="1:3">
      <c r="A8">
        <v>658920.30000000005</v>
      </c>
      <c r="B8" s="1">
        <v>764760.95303214493</v>
      </c>
      <c r="C8" s="1">
        <v>-105840.65303214488</v>
      </c>
    </row>
    <row r="9" spans="1:3">
      <c r="A9">
        <v>741341.44</v>
      </c>
      <c r="B9" s="1">
        <v>773116.61645223363</v>
      </c>
      <c r="C9" s="1">
        <v>-31775.176452233689</v>
      </c>
    </row>
    <row r="10" spans="1:3">
      <c r="A10">
        <v>761835.34</v>
      </c>
      <c r="B10" s="1">
        <v>800194.44584396994</v>
      </c>
      <c r="C10" s="1">
        <v>-38359.10584396997</v>
      </c>
    </row>
    <row r="11" spans="1:3">
      <c r="A11">
        <v>806615.54</v>
      </c>
      <c r="B11" s="1">
        <v>806568.2200350475</v>
      </c>
      <c r="C11" s="1">
        <v>47.319964952534065</v>
      </c>
    </row>
    <row r="12" spans="1:3">
      <c r="A12">
        <v>850164.26</v>
      </c>
      <c r="B12" s="1">
        <v>762874.16810952849</v>
      </c>
      <c r="C12" s="1">
        <v>87290.091890471522</v>
      </c>
    </row>
    <row r="13" spans="1:3">
      <c r="A13">
        <v>930581.7</v>
      </c>
      <c r="B13" s="1">
        <v>868236.23809564905</v>
      </c>
      <c r="C13" s="1">
        <v>62345.461904350901</v>
      </c>
    </row>
    <row r="14" spans="1:3">
      <c r="A14">
        <v>779010.94</v>
      </c>
      <c r="B14" s="1">
        <v>812941.73363484722</v>
      </c>
      <c r="C14" s="1">
        <v>-33930.793634847272</v>
      </c>
    </row>
    <row r="15" spans="1:3">
      <c r="A15">
        <v>723060.76</v>
      </c>
      <c r="B15" s="1">
        <v>764534.47914514202</v>
      </c>
      <c r="C15" s="1">
        <v>-41473.719145142008</v>
      </c>
    </row>
    <row r="16" spans="1:3">
      <c r="A16">
        <v>910791.94</v>
      </c>
      <c r="B16" s="1">
        <v>872246.39943354321</v>
      </c>
      <c r="C16" s="1">
        <v>38545.540566456737</v>
      </c>
    </row>
    <row r="17" spans="1:3">
      <c r="A17">
        <v>922168.6</v>
      </c>
      <c r="B17" s="1">
        <v>894219.8220591424</v>
      </c>
      <c r="C17" s="1">
        <v>27948.777940857573</v>
      </c>
    </row>
    <row r="18" spans="1:3">
      <c r="A18">
        <v>726606.28</v>
      </c>
      <c r="B18" s="1">
        <v>784379.45667203655</v>
      </c>
      <c r="C18" s="1">
        <v>-57773.176672036527</v>
      </c>
    </row>
    <row r="19" spans="1:3">
      <c r="A19">
        <v>746501.09</v>
      </c>
      <c r="B19" s="1">
        <v>750255.55585123971</v>
      </c>
      <c r="C19" s="1">
        <v>-3754.4658512397436</v>
      </c>
    </row>
    <row r="20" spans="1:3">
      <c r="A20">
        <v>834017.02</v>
      </c>
      <c r="B20" s="1">
        <v>836572.68343001418</v>
      </c>
      <c r="C20" s="1">
        <v>-2555.6634300141595</v>
      </c>
    </row>
    <row r="21" spans="1:3">
      <c r="A21">
        <v>666152.52</v>
      </c>
      <c r="B21" s="1">
        <v>675805.29927390174</v>
      </c>
      <c r="C21" s="1">
        <v>-9652.7792739017168</v>
      </c>
    </row>
    <row r="22" spans="1:3">
      <c r="A22">
        <v>573155.18999999994</v>
      </c>
      <c r="B22" s="1">
        <v>593779.212462764</v>
      </c>
      <c r="C22" s="1">
        <v>-20624.022462764056</v>
      </c>
    </row>
    <row r="23" spans="1:3">
      <c r="A23">
        <v>666573.19999999995</v>
      </c>
      <c r="B23" s="1">
        <v>659179.73762852955</v>
      </c>
      <c r="C23" s="1">
        <v>7393.4623714704067</v>
      </c>
    </row>
    <row r="24" spans="1:3">
      <c r="A24">
        <v>591619.94999999995</v>
      </c>
      <c r="B24" s="1">
        <v>593752.70063805941</v>
      </c>
      <c r="C24" s="1">
        <v>-2132.7506380594568</v>
      </c>
    </row>
    <row r="25" spans="1:3">
      <c r="A25">
        <v>415721.82</v>
      </c>
      <c r="B25" s="1">
        <v>512439.83886271121</v>
      </c>
      <c r="C25" s="1">
        <v>-96718.018862711207</v>
      </c>
    </row>
    <row r="26" spans="1:3">
      <c r="A26">
        <v>491905.13</v>
      </c>
      <c r="B26" s="1">
        <v>492518.44385635806</v>
      </c>
      <c r="C26" s="1">
        <v>-613.31385635805782</v>
      </c>
    </row>
    <row r="27" spans="1:3">
      <c r="A27">
        <v>555929.4</v>
      </c>
      <c r="B27" s="1">
        <v>544285.75383190578</v>
      </c>
      <c r="C27" s="1">
        <v>11643.646168094245</v>
      </c>
    </row>
    <row r="28" spans="1:3">
      <c r="A28">
        <v>565810.99</v>
      </c>
      <c r="B28" s="1">
        <v>541732.78534450114</v>
      </c>
      <c r="C28" s="1">
        <v>24078.204655498848</v>
      </c>
    </row>
    <row r="29" spans="1:3">
      <c r="A29">
        <v>811771.14</v>
      </c>
      <c r="B29" s="1">
        <v>815190.15823077154</v>
      </c>
      <c r="C29" s="1">
        <v>-3419.0182307715295</v>
      </c>
    </row>
    <row r="30" spans="1:3">
      <c r="A30">
        <v>800451.94</v>
      </c>
      <c r="B30" s="1">
        <v>903224.18423075753</v>
      </c>
      <c r="C30" s="1">
        <v>-102772.24423075758</v>
      </c>
    </row>
    <row r="31" spans="1:3">
      <c r="A31">
        <v>783672.82</v>
      </c>
      <c r="B31" s="1">
        <v>782083.31583524006</v>
      </c>
      <c r="C31" s="1">
        <v>1589.5041647598846</v>
      </c>
    </row>
    <row r="32" spans="1:3">
      <c r="A32">
        <v>701641.97</v>
      </c>
      <c r="B32" s="1">
        <v>708894.85737556755</v>
      </c>
      <c r="C32" s="1">
        <v>-7252.8873755675741</v>
      </c>
    </row>
    <row r="33" spans="1:3">
      <c r="A33">
        <v>511844.41</v>
      </c>
      <c r="B33" s="1">
        <v>595404.14863529033</v>
      </c>
      <c r="C33" s="1">
        <v>-83559.738635290356</v>
      </c>
    </row>
    <row r="34" spans="1:3">
      <c r="A34">
        <v>537383.79</v>
      </c>
      <c r="B34" s="1">
        <v>535521.69575921854</v>
      </c>
      <c r="C34" s="1">
        <v>1862.0942407815019</v>
      </c>
    </row>
    <row r="35" spans="1:3">
      <c r="A35">
        <v>500173.02</v>
      </c>
      <c r="B35" s="1">
        <v>517389.13940407021</v>
      </c>
      <c r="C35" s="1">
        <v>-17216.119404070196</v>
      </c>
    </row>
    <row r="36" spans="1:3">
      <c r="A36">
        <v>427917.38</v>
      </c>
      <c r="B36" s="1">
        <v>495468.06760225259</v>
      </c>
      <c r="C36" s="1">
        <v>-67550.687602252583</v>
      </c>
    </row>
    <row r="37" spans="1:3">
      <c r="A37">
        <v>641865.03</v>
      </c>
      <c r="B37" s="1">
        <v>762106.6617827171</v>
      </c>
      <c r="C37" s="1">
        <v>-120241.63178271707</v>
      </c>
    </row>
    <row r="38" spans="1:3">
      <c r="A38">
        <v>798952.17</v>
      </c>
      <c r="B38" s="1">
        <v>785474.71770823374</v>
      </c>
      <c r="C38" s="1">
        <v>13477.452291766298</v>
      </c>
    </row>
    <row r="39" spans="1:3">
      <c r="A39">
        <v>800979.78</v>
      </c>
      <c r="B39" s="1">
        <v>794077.23402419093</v>
      </c>
      <c r="C39" s="1">
        <v>6902.5459758091019</v>
      </c>
    </row>
    <row r="40" spans="1:3">
      <c r="A40">
        <v>820593.93</v>
      </c>
      <c r="B40" s="1">
        <v>788969.1456357534</v>
      </c>
      <c r="C40" s="1">
        <v>31624.784364246647</v>
      </c>
    </row>
    <row r="41" spans="1:3">
      <c r="A41">
        <v>718330.53</v>
      </c>
      <c r="B41" s="1">
        <v>750000.6601223445</v>
      </c>
      <c r="C41" s="1">
        <v>-31670.130122344475</v>
      </c>
    </row>
    <row r="42" spans="1:3">
      <c r="A42">
        <v>736633.4</v>
      </c>
      <c r="B42" s="1">
        <v>766857.50129888952</v>
      </c>
      <c r="C42" s="1">
        <v>-30224.101298889495</v>
      </c>
    </row>
    <row r="43" spans="1:3">
      <c r="A43">
        <v>828623.85</v>
      </c>
      <c r="B43" s="1">
        <v>802745.74679316848</v>
      </c>
      <c r="C43" s="1">
        <v>25878.103206831496</v>
      </c>
    </row>
    <row r="44" spans="1:3">
      <c r="A44">
        <v>592195.85</v>
      </c>
      <c r="B44" s="1">
        <v>575195.43503847555</v>
      </c>
      <c r="C44" s="1">
        <v>17000.414961524424</v>
      </c>
    </row>
    <row r="45" spans="1:3">
      <c r="A45">
        <v>532644.46</v>
      </c>
      <c r="B45" s="1">
        <v>567136.5256753068</v>
      </c>
      <c r="C45" s="1">
        <v>-34492.065675306832</v>
      </c>
    </row>
    <row r="46" spans="1:3">
      <c r="A46">
        <v>657429.18000000005</v>
      </c>
      <c r="B46" s="1">
        <v>596748.09742551949</v>
      </c>
      <c r="C46" s="1">
        <v>60681.082574480562</v>
      </c>
    </row>
    <row r="47" spans="1:3">
      <c r="A47">
        <v>605178</v>
      </c>
      <c r="B47" s="1">
        <v>602559.45243485819</v>
      </c>
      <c r="C47" s="1">
        <v>2618.5475651418092</v>
      </c>
    </row>
    <row r="48" spans="1:3">
      <c r="A48">
        <v>595467.6</v>
      </c>
      <c r="B48" s="1">
        <v>714729.51116357173</v>
      </c>
      <c r="C48" s="1">
        <v>-119261.91116357176</v>
      </c>
    </row>
    <row r="49" spans="1:3">
      <c r="A49">
        <v>599603.4</v>
      </c>
      <c r="B49" s="1">
        <v>605563.80571303575</v>
      </c>
      <c r="C49" s="1">
        <v>-5960.4057130357251</v>
      </c>
    </row>
    <row r="50" spans="1:3">
      <c r="A50">
        <v>614800.09</v>
      </c>
      <c r="B50" s="1">
        <v>567970.10172122344</v>
      </c>
      <c r="C50" s="1">
        <v>46829.988278776524</v>
      </c>
    </row>
    <row r="51" spans="1:3">
      <c r="A51">
        <v>585365.73</v>
      </c>
      <c r="B51" s="1">
        <v>567932.95676227869</v>
      </c>
      <c r="C51" s="1">
        <v>17432.773237721296</v>
      </c>
    </row>
    <row r="52" spans="1:3">
      <c r="A52">
        <v>622811.74</v>
      </c>
      <c r="B52" s="1">
        <v>630750.04242201662</v>
      </c>
      <c r="C52" s="1">
        <v>-7938.3024220166262</v>
      </c>
    </row>
    <row r="53" spans="1:3">
      <c r="A53">
        <v>603297.56999999995</v>
      </c>
      <c r="B53" s="1">
        <v>649566.43464230839</v>
      </c>
      <c r="C53" s="1">
        <v>-46268.864642308443</v>
      </c>
    </row>
    <row r="54" spans="1:3">
      <c r="A54">
        <v>625672.86</v>
      </c>
      <c r="B54" s="1">
        <v>634200.6271799542</v>
      </c>
      <c r="C54" s="1">
        <v>-8527.767179954215</v>
      </c>
    </row>
    <row r="55" spans="1:3">
      <c r="A55">
        <v>773815.14</v>
      </c>
      <c r="B55" s="1">
        <v>722181.37552996736</v>
      </c>
      <c r="C55" s="1">
        <v>51633.764470032649</v>
      </c>
    </row>
    <row r="56" spans="1:3">
      <c r="A56">
        <v>463534.25</v>
      </c>
      <c r="B56" s="1">
        <v>567939.50647747098</v>
      </c>
      <c r="C56" s="1">
        <v>-104405.25647747098</v>
      </c>
    </row>
    <row r="57" spans="1:3">
      <c r="A57">
        <v>746677.75</v>
      </c>
      <c r="B57" s="1">
        <v>709200.9132302634</v>
      </c>
      <c r="C57" s="1">
        <v>37476.836769736605</v>
      </c>
    </row>
    <row r="58" spans="1:3">
      <c r="A58">
        <v>720852.5</v>
      </c>
      <c r="B58" s="1">
        <v>675347.10577686317</v>
      </c>
      <c r="C58" s="1">
        <v>45505.394223136827</v>
      </c>
    </row>
    <row r="59" spans="1:3">
      <c r="A59">
        <v>487464.91</v>
      </c>
      <c r="B59" s="1">
        <v>525097.08139544562</v>
      </c>
      <c r="C59" s="1">
        <v>-37632.17139544565</v>
      </c>
    </row>
    <row r="60" spans="1:3">
      <c r="A60">
        <v>518049.26</v>
      </c>
      <c r="B60" s="1">
        <v>519263.37940211094</v>
      </c>
      <c r="C60" s="1">
        <v>-1214.1194021109259</v>
      </c>
    </row>
    <row r="61" spans="1:3">
      <c r="A61">
        <v>500298.48</v>
      </c>
      <c r="B61" s="1">
        <v>569725.21792755113</v>
      </c>
      <c r="C61" s="1">
        <v>-69426.737927551148</v>
      </c>
    </row>
    <row r="62" spans="1:3">
      <c r="A62">
        <v>617291.15</v>
      </c>
      <c r="B62" s="1">
        <v>688492.99937825254</v>
      </c>
      <c r="C62" s="1">
        <v>-71201.849378252518</v>
      </c>
    </row>
    <row r="63" spans="1:3">
      <c r="A63">
        <v>553756.43000000005</v>
      </c>
      <c r="B63" s="1">
        <v>624870.48309941601</v>
      </c>
      <c r="C63" s="1">
        <v>-71114.053099415964</v>
      </c>
    </row>
    <row r="64" spans="1:3">
      <c r="A64">
        <v>749559.71</v>
      </c>
      <c r="B64" s="1">
        <v>661092.65733328124</v>
      </c>
      <c r="C64" s="1">
        <v>88467.052666718722</v>
      </c>
    </row>
    <row r="65" spans="1:3">
      <c r="A65">
        <v>615966.48</v>
      </c>
      <c r="B65" s="1">
        <v>571719.43276246684</v>
      </c>
      <c r="C65" s="1">
        <v>44247.047237533145</v>
      </c>
    </row>
    <row r="66" spans="1:3">
      <c r="A66">
        <v>572011.19999999995</v>
      </c>
      <c r="B66" s="1">
        <v>583888.41141595913</v>
      </c>
      <c r="C66" s="1">
        <v>-11877.211415959173</v>
      </c>
    </row>
    <row r="67" spans="1:3">
      <c r="A67">
        <v>761860.19</v>
      </c>
      <c r="B67" s="1">
        <v>705277.71576784167</v>
      </c>
      <c r="C67" s="1">
        <v>56582.474232158274</v>
      </c>
    </row>
    <row r="68" spans="1:3">
      <c r="A68">
        <v>784502.68</v>
      </c>
      <c r="B68" s="1">
        <v>785461.13098889391</v>
      </c>
      <c r="C68" s="1">
        <v>-958.45098889386281</v>
      </c>
    </row>
    <row r="69" spans="1:3">
      <c r="A69">
        <v>717141.55</v>
      </c>
      <c r="B69" s="1">
        <v>722345.06058730336</v>
      </c>
      <c r="C69" s="1">
        <v>-5203.5105873033172</v>
      </c>
    </row>
    <row r="70" spans="1:3">
      <c r="A70">
        <v>685379.08</v>
      </c>
      <c r="B70" s="1">
        <v>811333.92125421076</v>
      </c>
      <c r="C70" s="1">
        <v>-125954.8412542108</v>
      </c>
    </row>
    <row r="71" spans="1:3">
      <c r="A71">
        <v>740496.65</v>
      </c>
      <c r="B71" s="1">
        <v>723844.2346835467</v>
      </c>
      <c r="C71" s="1">
        <v>16652.41531645332</v>
      </c>
    </row>
    <row r="72" spans="1:3">
      <c r="A72">
        <v>661927.14</v>
      </c>
      <c r="B72" s="1">
        <v>599079.37030889501</v>
      </c>
      <c r="C72" s="1">
        <v>62847.769691105001</v>
      </c>
    </row>
    <row r="73" spans="1:3">
      <c r="A73">
        <v>479050.5</v>
      </c>
      <c r="B73" s="1">
        <v>534436.80841392826</v>
      </c>
      <c r="C73" s="1">
        <v>-55386.308413928258</v>
      </c>
    </row>
    <row r="74" spans="1:3">
      <c r="A74">
        <v>605023.87</v>
      </c>
      <c r="B74" s="1">
        <v>573705.80994420242</v>
      </c>
      <c r="C74" s="1">
        <v>31318.06005579757</v>
      </c>
    </row>
    <row r="75" spans="1:3">
      <c r="A75">
        <v>616069.41</v>
      </c>
      <c r="B75" s="1">
        <v>634569.93794448825</v>
      </c>
      <c r="C75" s="1">
        <v>-18500.527944488218</v>
      </c>
    </row>
    <row r="76" spans="1:3">
      <c r="A76">
        <v>630829.93999999994</v>
      </c>
      <c r="B76" s="1">
        <v>673558.49147802533</v>
      </c>
      <c r="C76" s="1">
        <v>-42728.551478025387</v>
      </c>
    </row>
    <row r="77" spans="1:3">
      <c r="A77">
        <v>788087.68</v>
      </c>
      <c r="B77" s="1">
        <v>691817.68852145434</v>
      </c>
      <c r="C77" s="1">
        <v>96269.991478545708</v>
      </c>
    </row>
    <row r="78" spans="1:3">
      <c r="A78">
        <v>680840.36</v>
      </c>
      <c r="B78" s="1">
        <v>727331.38218990271</v>
      </c>
      <c r="C78" s="1">
        <v>-46491.022189902724</v>
      </c>
    </row>
    <row r="79" spans="1:3">
      <c r="A79">
        <v>643657.47</v>
      </c>
      <c r="B79" s="1">
        <v>686093.42751108692</v>
      </c>
      <c r="C79" s="1">
        <v>-42435.957511086948</v>
      </c>
    </row>
    <row r="80" spans="1:3">
      <c r="A80">
        <v>691112.6</v>
      </c>
      <c r="B80" s="1">
        <v>660177.68021790963</v>
      </c>
      <c r="C80" s="1">
        <v>30934.91978209035</v>
      </c>
    </row>
    <row r="81" spans="1:3">
      <c r="A81">
        <v>776922.17</v>
      </c>
      <c r="B81" s="1">
        <v>740249.21052979038</v>
      </c>
      <c r="C81" s="1">
        <v>36672.959470209666</v>
      </c>
    </row>
    <row r="82" spans="1:3">
      <c r="A82">
        <v>636561.34</v>
      </c>
      <c r="B82" s="1">
        <v>687069.3418720772</v>
      </c>
      <c r="C82" s="1">
        <v>-50508.001872077235</v>
      </c>
    </row>
    <row r="83" spans="1:3">
      <c r="A83">
        <v>621369.57999999996</v>
      </c>
      <c r="B83" s="1">
        <v>657356.54132730805</v>
      </c>
      <c r="C83" s="1">
        <v>-35986.96132730809</v>
      </c>
    </row>
    <row r="84" spans="1:3">
      <c r="A84">
        <v>682208.01</v>
      </c>
      <c r="B84" s="1">
        <v>624858.3580450872</v>
      </c>
      <c r="C84" s="1">
        <v>57349.651954912813</v>
      </c>
    </row>
    <row r="85" spans="1:3">
      <c r="A85">
        <v>727241.86</v>
      </c>
      <c r="B85" s="1">
        <v>645202.33974741958</v>
      </c>
      <c r="C85" s="1">
        <v>82039.520252580405</v>
      </c>
    </row>
    <row r="86" spans="1:3">
      <c r="A86">
        <v>569100.78</v>
      </c>
      <c r="B86" s="1">
        <v>567236.48475835496</v>
      </c>
      <c r="C86" s="1">
        <v>1864.2952416450717</v>
      </c>
    </row>
    <row r="87" spans="1:3">
      <c r="A87">
        <v>574436.29</v>
      </c>
      <c r="B87" s="1">
        <v>564342.88387337187</v>
      </c>
      <c r="C87" s="1">
        <v>10093.406126628164</v>
      </c>
    </row>
    <row r="88" spans="1:3">
      <c r="A88">
        <v>614596.31999999995</v>
      </c>
      <c r="B88" s="1">
        <v>613916.39982244477</v>
      </c>
      <c r="C88" s="1">
        <v>679.92017755517736</v>
      </c>
    </row>
    <row r="89" spans="1:3">
      <c r="A89">
        <v>450711.92</v>
      </c>
      <c r="B89" s="1">
        <v>461165.80232216319</v>
      </c>
      <c r="C89" s="1">
        <v>-10453.882322163205</v>
      </c>
    </row>
    <row r="90" spans="1:3">
      <c r="A90">
        <v>711213.46</v>
      </c>
      <c r="B90" s="1">
        <v>699694.75250850432</v>
      </c>
      <c r="C90" s="1">
        <v>11518.707491495647</v>
      </c>
    </row>
    <row r="91" spans="1:3">
      <c r="A91">
        <v>627171.9</v>
      </c>
      <c r="B91" s="1">
        <v>749403.89495306066</v>
      </c>
      <c r="C91" s="1">
        <v>-122231.99495306064</v>
      </c>
    </row>
    <row r="92" spans="1:3">
      <c r="A92">
        <v>739852.58</v>
      </c>
      <c r="B92" s="1">
        <v>701090.90572315804</v>
      </c>
      <c r="C92" s="1">
        <v>38761.674276841921</v>
      </c>
    </row>
    <row r="93" spans="1:3">
      <c r="A93">
        <v>586307.22</v>
      </c>
      <c r="B93" s="1">
        <v>565971.73612619913</v>
      </c>
      <c r="C93" s="1">
        <v>20335.48387380084</v>
      </c>
    </row>
    <row r="94" spans="1:3">
      <c r="A94">
        <v>585937.48</v>
      </c>
      <c r="B94" s="1">
        <v>578961.00299697765</v>
      </c>
      <c r="C94" s="1">
        <v>6976.4770030223299</v>
      </c>
    </row>
    <row r="95" spans="1:3">
      <c r="A95">
        <v>753473.55</v>
      </c>
      <c r="B95" s="1">
        <v>677669.21776479005</v>
      </c>
      <c r="C95" s="1">
        <v>75804.332235209993</v>
      </c>
    </row>
    <row r="96" spans="1:3">
      <c r="A96">
        <v>838250.32</v>
      </c>
      <c r="B96" s="1">
        <v>749554.61943694996</v>
      </c>
      <c r="C96" s="1">
        <v>88695.700563049992</v>
      </c>
    </row>
    <row r="97" spans="1:3">
      <c r="A97">
        <v>607898.12</v>
      </c>
      <c r="B97" s="1">
        <v>597241.99260045844</v>
      </c>
      <c r="C97" s="1">
        <v>10656.127399541554</v>
      </c>
    </row>
    <row r="98" spans="1:3">
      <c r="A98">
        <v>691113.62</v>
      </c>
      <c r="B98" s="1">
        <v>690692.57273696619</v>
      </c>
      <c r="C98" s="1">
        <v>421.04726303380448</v>
      </c>
    </row>
    <row r="99" spans="1:3">
      <c r="A99">
        <v>735509.4</v>
      </c>
      <c r="B99" s="1">
        <v>669192.8735966566</v>
      </c>
      <c r="C99" s="1">
        <v>66316.526403343421</v>
      </c>
    </row>
    <row r="100" spans="1:3">
      <c r="A100">
        <v>675177.68</v>
      </c>
      <c r="B100" s="1">
        <v>646403.93876906193</v>
      </c>
      <c r="C100" s="1">
        <v>28773.741230938118</v>
      </c>
    </row>
    <row r="101" spans="1:3">
      <c r="A101">
        <v>635181.35</v>
      </c>
      <c r="B101" s="1">
        <v>589047.30777598079</v>
      </c>
      <c r="C101" s="1">
        <v>46134.042224019184</v>
      </c>
    </row>
    <row r="102" spans="1:3">
      <c r="A102">
        <v>586626.93999999994</v>
      </c>
      <c r="B102" s="1">
        <v>625071.35581648932</v>
      </c>
      <c r="C102" s="1">
        <v>-38444.415816489374</v>
      </c>
    </row>
    <row r="103" spans="1:3">
      <c r="A103">
        <v>740102.64</v>
      </c>
      <c r="B103" s="1">
        <v>738563.76556633983</v>
      </c>
      <c r="C103" s="1">
        <v>1538.8744336601812</v>
      </c>
    </row>
    <row r="104" spans="1:3">
      <c r="A104">
        <v>625514.04</v>
      </c>
      <c r="B104" s="1">
        <v>523959.81904431456</v>
      </c>
      <c r="C104" s="1">
        <v>101554.22095568548</v>
      </c>
    </row>
    <row r="105" spans="1:3">
      <c r="A105">
        <v>727227.2</v>
      </c>
      <c r="B105" s="1">
        <v>711089.93131324172</v>
      </c>
      <c r="C105" s="1">
        <v>16137.268686758238</v>
      </c>
    </row>
    <row r="106" spans="1:3">
      <c r="A106">
        <v>783797.89</v>
      </c>
      <c r="B106" s="1">
        <v>776131.02956071065</v>
      </c>
      <c r="C106" s="1">
        <v>7666.8604392893612</v>
      </c>
    </row>
    <row r="107" spans="1:3">
      <c r="A107">
        <v>795153.84</v>
      </c>
      <c r="B107" s="1">
        <v>705561.9332751449</v>
      </c>
      <c r="C107" s="1">
        <v>89591.906724855071</v>
      </c>
    </row>
    <row r="108" spans="1:3">
      <c r="A108">
        <v>665594.93999999994</v>
      </c>
      <c r="B108" s="1">
        <v>671338.85549808503</v>
      </c>
      <c r="C108" s="1">
        <v>-5743.9154980850872</v>
      </c>
    </row>
    <row r="109" spans="1:3">
      <c r="A109">
        <v>709478.39</v>
      </c>
      <c r="B109" s="1">
        <v>726393.14624504582</v>
      </c>
      <c r="C109" s="1">
        <v>-16914.756245045806</v>
      </c>
    </row>
    <row r="110" spans="1:3">
      <c r="A110">
        <v>664162.49</v>
      </c>
      <c r="B110" s="1">
        <v>669914.80412169034</v>
      </c>
      <c r="C110" s="1">
        <v>-5752.3141216903459</v>
      </c>
    </row>
    <row r="111" spans="1:3">
      <c r="A111">
        <v>633494.21</v>
      </c>
      <c r="B111" s="1">
        <v>655373.32051012001</v>
      </c>
      <c r="C111" s="1">
        <v>-21879.110510120052</v>
      </c>
    </row>
    <row r="112" spans="1:3">
      <c r="A112">
        <v>713611.16</v>
      </c>
      <c r="B112" s="1">
        <v>602812.70841515507</v>
      </c>
      <c r="C112" s="1">
        <v>110798.45158484497</v>
      </c>
    </row>
    <row r="113" spans="1:3">
      <c r="A113">
        <v>778397.97</v>
      </c>
      <c r="B113" s="1">
        <v>777412.08598929388</v>
      </c>
      <c r="C113" s="1">
        <v>985.88401070609689</v>
      </c>
    </row>
    <row r="114" spans="1:3">
      <c r="A114">
        <v>873380.02</v>
      </c>
      <c r="B114" s="1">
        <v>816453.16789366968</v>
      </c>
      <c r="C114" s="1">
        <v>56926.852106330334</v>
      </c>
    </row>
    <row r="115" spans="1:3">
      <c r="A115">
        <v>697287.9</v>
      </c>
      <c r="B115" s="1">
        <v>754246.16346112208</v>
      </c>
      <c r="C115" s="1">
        <v>-56958.263461122056</v>
      </c>
    </row>
    <row r="116" spans="1:3">
      <c r="A116">
        <v>718074.79</v>
      </c>
      <c r="B116" s="1">
        <v>746330.78602402634</v>
      </c>
      <c r="C116" s="1">
        <v>-28255.996024026303</v>
      </c>
    </row>
    <row r="117" spans="1:3">
      <c r="A117">
        <v>714942.43</v>
      </c>
      <c r="B117" s="1">
        <v>695601.74609480414</v>
      </c>
      <c r="C117" s="1">
        <v>19340.68390519591</v>
      </c>
    </row>
    <row r="118" spans="1:3">
      <c r="A118">
        <v>820519.04</v>
      </c>
      <c r="B118" s="1">
        <v>731852.40437508747</v>
      </c>
      <c r="C118" s="1">
        <v>88666.635624912567</v>
      </c>
    </row>
    <row r="119" spans="1:3">
      <c r="A119">
        <v>684217.32</v>
      </c>
      <c r="B119" s="1">
        <v>717355.35242821602</v>
      </c>
      <c r="C119" s="1">
        <v>-33138.032428216073</v>
      </c>
    </row>
    <row r="120" spans="1:3">
      <c r="A120">
        <v>735480.19</v>
      </c>
      <c r="B120" s="1">
        <v>708357.77777521708</v>
      </c>
      <c r="C120" s="1">
        <v>27122.412224782864</v>
      </c>
    </row>
    <row r="121" spans="1:3">
      <c r="A121">
        <v>509484.81</v>
      </c>
      <c r="B121" s="1">
        <v>576772.94961294415</v>
      </c>
      <c r="C121" s="1">
        <v>-67288.139612944156</v>
      </c>
    </row>
    <row r="122" spans="1:3">
      <c r="A122">
        <v>654317.09</v>
      </c>
      <c r="B122" s="1">
        <v>616271.0579291695</v>
      </c>
      <c r="C122" s="1">
        <v>38046.032070830464</v>
      </c>
    </row>
    <row r="123" spans="1:3">
      <c r="A123">
        <v>557487.26</v>
      </c>
      <c r="B123" s="1">
        <v>601070.96681720077</v>
      </c>
      <c r="C123" s="1">
        <v>-43583.706817200757</v>
      </c>
    </row>
    <row r="124" spans="1:3">
      <c r="A124">
        <v>441275.42</v>
      </c>
      <c r="B124" s="1">
        <v>482939.1852575427</v>
      </c>
      <c r="C124" s="1">
        <v>-41663.76525754272</v>
      </c>
    </row>
    <row r="125" spans="1:3">
      <c r="A125">
        <v>914544.17</v>
      </c>
      <c r="B125" s="1">
        <v>816735.00236292719</v>
      </c>
      <c r="C125" s="1">
        <v>97809.167637072853</v>
      </c>
    </row>
    <row r="126" spans="1:3">
      <c r="A126">
        <v>842439.67</v>
      </c>
      <c r="B126" s="1">
        <v>820338.1120573912</v>
      </c>
      <c r="C126" s="1">
        <v>22101.557942608837</v>
      </c>
    </row>
    <row r="127" spans="1:3">
      <c r="A127">
        <v>842157.92</v>
      </c>
      <c r="B127" s="1">
        <v>783373.97636740108</v>
      </c>
      <c r="C127" s="1">
        <v>58783.943632598966</v>
      </c>
    </row>
    <row r="128" spans="1:3">
      <c r="A128">
        <v>697155.3</v>
      </c>
      <c r="B128" s="1">
        <v>716526.38823521882</v>
      </c>
      <c r="C128" s="1">
        <v>-19371.088235218776</v>
      </c>
    </row>
    <row r="129" spans="1:3">
      <c r="A129">
        <v>849018.3</v>
      </c>
      <c r="B129" s="1">
        <v>829584.88760413486</v>
      </c>
      <c r="C129" s="1">
        <v>19433.412395865191</v>
      </c>
    </row>
    <row r="130" spans="1:3">
      <c r="A130">
        <v>801830.35</v>
      </c>
      <c r="B130" s="1">
        <v>831320.41580864403</v>
      </c>
      <c r="C130" s="1">
        <v>-29490.065808644053</v>
      </c>
    </row>
    <row r="131" spans="1:3">
      <c r="A131">
        <v>725235.28</v>
      </c>
      <c r="B131" s="1">
        <v>778262.60922987713</v>
      </c>
      <c r="C131" s="1">
        <v>-53027.329229877098</v>
      </c>
    </row>
    <row r="132" spans="1:3">
      <c r="A132">
        <v>811452.72</v>
      </c>
      <c r="B132" s="1">
        <v>837141.70985676185</v>
      </c>
      <c r="C132" s="1">
        <v>-25688.98985676188</v>
      </c>
    </row>
    <row r="133" spans="1:3">
      <c r="A133">
        <v>527300.13</v>
      </c>
      <c r="B133" s="1">
        <v>579782.94796159305</v>
      </c>
      <c r="C133" s="1">
        <v>-52482.817961593042</v>
      </c>
    </row>
    <row r="134" spans="1:3">
      <c r="A134">
        <v>593247.25</v>
      </c>
      <c r="B134" s="1">
        <v>578488.99278753658</v>
      </c>
      <c r="C134" s="1">
        <v>14758.257212463417</v>
      </c>
    </row>
    <row r="135" spans="1:3">
      <c r="A135">
        <v>529075.94999999995</v>
      </c>
      <c r="B135" s="1">
        <v>543613.85793562129</v>
      </c>
      <c r="C135" s="1">
        <v>-14537.907935621333</v>
      </c>
    </row>
    <row r="136" spans="1:3">
      <c r="A136">
        <v>743348.84</v>
      </c>
      <c r="B136" s="1">
        <v>678628.982320079</v>
      </c>
      <c r="C136" s="1">
        <v>64719.85767992097</v>
      </c>
    </row>
    <row r="137" spans="1:3">
      <c r="A137">
        <v>758827.64</v>
      </c>
      <c r="B137" s="1">
        <v>682599.24839073478</v>
      </c>
      <c r="C137" s="1">
        <v>76228.391609265236</v>
      </c>
    </row>
    <row r="138" spans="1:3">
      <c r="A138">
        <v>646559.71</v>
      </c>
      <c r="B138" s="1">
        <v>617076.85857471358</v>
      </c>
      <c r="C138" s="1">
        <v>29482.851425286382</v>
      </c>
    </row>
    <row r="139" spans="1:3">
      <c r="A139">
        <v>715890.53</v>
      </c>
      <c r="B139" s="1">
        <v>671852.21859284479</v>
      </c>
      <c r="C139" s="1">
        <v>44038.311407155241</v>
      </c>
    </row>
    <row r="140" spans="1:3">
      <c r="A140">
        <v>715097.57</v>
      </c>
      <c r="B140" s="1">
        <v>674599.71517258673</v>
      </c>
      <c r="C140" s="1">
        <v>40497.854827413219</v>
      </c>
    </row>
    <row r="141" spans="1:3">
      <c r="A141">
        <v>682639.28</v>
      </c>
      <c r="B141" s="1">
        <v>637117.39527158428</v>
      </c>
      <c r="C141" s="1">
        <v>45521.884728415753</v>
      </c>
    </row>
    <row r="142" spans="1:3">
      <c r="A142">
        <v>695098.51</v>
      </c>
      <c r="B142" s="1">
        <v>659088.90979191277</v>
      </c>
      <c r="C142" s="1">
        <v>36009.600208087242</v>
      </c>
    </row>
    <row r="143" spans="1:3">
      <c r="A143">
        <v>577732.56999999995</v>
      </c>
      <c r="B143" s="1">
        <v>608447.90728822886</v>
      </c>
      <c r="C143" s="1">
        <v>-30715.337288228911</v>
      </c>
    </row>
    <row r="144" spans="1:3">
      <c r="A144">
        <v>537058.32999999996</v>
      </c>
      <c r="B144" s="1">
        <v>547063.56446351134</v>
      </c>
      <c r="C144" s="1">
        <v>-10005.234463511384</v>
      </c>
    </row>
    <row r="145" spans="1:3">
      <c r="A145">
        <v>601568.87</v>
      </c>
      <c r="B145" s="1">
        <v>587040.54431598692</v>
      </c>
      <c r="C145" s="1">
        <v>14528.325684013078</v>
      </c>
    </row>
    <row r="146" spans="1:3">
      <c r="A146">
        <v>570964.84</v>
      </c>
      <c r="B146" s="1">
        <v>564494.90418286959</v>
      </c>
      <c r="C146" s="1">
        <v>6469.9358171303757</v>
      </c>
    </row>
    <row r="147" spans="1:3">
      <c r="A147">
        <v>614024.91</v>
      </c>
      <c r="B147" s="1">
        <v>643978.21529906779</v>
      </c>
      <c r="C147" s="1">
        <v>-29953.305299067753</v>
      </c>
    </row>
    <row r="148" spans="1:3">
      <c r="A148">
        <v>712868.35</v>
      </c>
      <c r="B148" s="1">
        <v>675564.40522150218</v>
      </c>
      <c r="C148" s="1">
        <v>37303.944778497797</v>
      </c>
    </row>
    <row r="149" spans="1:3">
      <c r="A149">
        <v>696744.15</v>
      </c>
      <c r="B149" s="1">
        <v>646267.0753722135</v>
      </c>
      <c r="C149" s="1">
        <v>50477.074627786526</v>
      </c>
    </row>
    <row r="150" spans="1:3">
      <c r="A150">
        <v>725847.99</v>
      </c>
      <c r="B150" s="1">
        <v>686752.23068427213</v>
      </c>
      <c r="C150" s="1">
        <v>39095.759315727861</v>
      </c>
    </row>
    <row r="151" spans="1:3">
      <c r="A151">
        <v>785028.25</v>
      </c>
      <c r="B151" s="1">
        <v>808640.07419024035</v>
      </c>
      <c r="C151" s="1">
        <v>-23611.824190240353</v>
      </c>
    </row>
    <row r="152" spans="1:3">
      <c r="A152">
        <v>698492.67</v>
      </c>
      <c r="B152" s="1">
        <v>697190.52196648321</v>
      </c>
      <c r="C152" s="1">
        <v>1302.1480335168308</v>
      </c>
    </row>
    <row r="153" spans="1:3">
      <c r="A153">
        <v>685830.24</v>
      </c>
      <c r="B153" s="1">
        <v>727575.92926575243</v>
      </c>
      <c r="C153" s="1">
        <v>-41745.689265752444</v>
      </c>
    </row>
    <row r="154" spans="1:3">
      <c r="A154">
        <v>702318.94</v>
      </c>
      <c r="B154" s="1">
        <v>704370.5063288298</v>
      </c>
      <c r="C154" s="1">
        <v>-2051.5663288298529</v>
      </c>
    </row>
    <row r="155" spans="1:3">
      <c r="A155">
        <v>700078.32</v>
      </c>
      <c r="B155" s="1">
        <v>721194.36484640115</v>
      </c>
      <c r="C155" s="1">
        <v>-21116.044846401201</v>
      </c>
    </row>
    <row r="156" spans="1:3">
      <c r="A156">
        <v>602002.31999999995</v>
      </c>
      <c r="B156" s="1">
        <v>635238.47172236897</v>
      </c>
      <c r="C156" s="1">
        <v>-33236.151722369017</v>
      </c>
    </row>
    <row r="157" spans="1:3">
      <c r="A157">
        <v>724216.07</v>
      </c>
      <c r="B157" s="1">
        <v>706722.98020291433</v>
      </c>
      <c r="C157" s="1">
        <v>17493.089797085617</v>
      </c>
    </row>
    <row r="158" spans="1:3">
      <c r="A158">
        <v>620973.03</v>
      </c>
      <c r="B158" s="1">
        <v>561766.36042582395</v>
      </c>
      <c r="C158" s="1">
        <v>59206.669574176078</v>
      </c>
    </row>
    <row r="159" spans="1:3">
      <c r="A159">
        <v>650480.06000000006</v>
      </c>
      <c r="B159" s="1">
        <v>694939.966625317</v>
      </c>
      <c r="C159" s="1">
        <v>-44459.906625316944</v>
      </c>
    </row>
    <row r="160" spans="1:3">
      <c r="A160">
        <v>778298.88</v>
      </c>
      <c r="B160" s="1">
        <v>687401.95299295755</v>
      </c>
      <c r="C160" s="1">
        <v>90896.927007042454</v>
      </c>
    </row>
    <row r="161" spans="1:3">
      <c r="A161">
        <v>692008.64</v>
      </c>
      <c r="B161" s="1">
        <v>677042.86053056747</v>
      </c>
      <c r="C161" s="1">
        <v>14965.779469432542</v>
      </c>
    </row>
    <row r="162" spans="1:3">
      <c r="A162">
        <v>825797.91</v>
      </c>
      <c r="B162" s="1">
        <v>801685.54425732256</v>
      </c>
      <c r="C162" s="1">
        <v>24112.365742677473</v>
      </c>
    </row>
    <row r="163" spans="1:3">
      <c r="A163">
        <v>706285.52</v>
      </c>
      <c r="B163" s="1">
        <v>741547.67545302142</v>
      </c>
      <c r="C163" s="1">
        <v>-35262.155453021405</v>
      </c>
    </row>
    <row r="164" spans="1:3">
      <c r="A164">
        <v>665534.69999999995</v>
      </c>
      <c r="B164" s="1">
        <v>673685.44124233397</v>
      </c>
      <c r="C164" s="1">
        <v>-8150.7412423340138</v>
      </c>
    </row>
    <row r="165" spans="1:3">
      <c r="A165">
        <v>820729.29</v>
      </c>
      <c r="B165" s="1">
        <v>812809.73933078337</v>
      </c>
      <c r="C165" s="1">
        <v>7919.5506692166673</v>
      </c>
    </row>
    <row r="166" spans="1:3">
      <c r="A166">
        <v>739831.73</v>
      </c>
      <c r="B166" s="1">
        <v>768805.30686926993</v>
      </c>
      <c r="C166" s="1">
        <v>-28973.576869269949</v>
      </c>
    </row>
    <row r="167" spans="1:3">
      <c r="A167">
        <v>593637.14</v>
      </c>
      <c r="B167" s="1">
        <v>674945.39440567093</v>
      </c>
      <c r="C167" s="1">
        <v>-81308.254405670916</v>
      </c>
    </row>
    <row r="168" spans="1:3">
      <c r="A168">
        <v>769702.76</v>
      </c>
      <c r="B168" s="1">
        <v>741664.32810436026</v>
      </c>
      <c r="C168" s="1">
        <v>28038.431895639747</v>
      </c>
    </row>
    <row r="169" spans="1:3">
      <c r="A169">
        <v>679731.57</v>
      </c>
      <c r="B169" s="1">
        <v>682456.3499645316</v>
      </c>
      <c r="C169" s="1">
        <v>-2724.7799645316554</v>
      </c>
    </row>
    <row r="170" spans="1:3">
      <c r="A170">
        <v>780344.18</v>
      </c>
      <c r="B170" s="1">
        <v>751186.08695229026</v>
      </c>
      <c r="C170" s="1">
        <v>29158.093047709786</v>
      </c>
    </row>
    <row r="171" spans="1:3">
      <c r="A171">
        <v>721364.11</v>
      </c>
      <c r="B171" s="1">
        <v>751275.82452966482</v>
      </c>
      <c r="C171" s="1">
        <v>-29911.714529664838</v>
      </c>
    </row>
    <row r="172" spans="1:3">
      <c r="A172">
        <v>758138.29</v>
      </c>
      <c r="B172" s="1">
        <v>790836.42433290719</v>
      </c>
      <c r="C172" s="1">
        <v>-32698.134332907153</v>
      </c>
    </row>
    <row r="173" spans="1:3">
      <c r="A173">
        <v>804264</v>
      </c>
      <c r="B173" s="1">
        <v>804459.46007543488</v>
      </c>
      <c r="C173" s="1">
        <v>-195.4600754348794</v>
      </c>
    </row>
    <row r="174" spans="1:3">
      <c r="A174">
        <v>887537.75</v>
      </c>
      <c r="B174" s="1">
        <v>909675.59914359835</v>
      </c>
      <c r="C174" s="1">
        <v>-22137.849143598345</v>
      </c>
    </row>
    <row r="175" spans="1:3">
      <c r="A175">
        <v>783582</v>
      </c>
      <c r="B175" s="1">
        <v>717045.4062208198</v>
      </c>
      <c r="C175" s="1">
        <v>66536.593779180199</v>
      </c>
    </row>
    <row r="176" spans="1:3">
      <c r="A176">
        <v>781955.52</v>
      </c>
      <c r="B176" s="1">
        <v>761549.85974749201</v>
      </c>
      <c r="C176" s="1">
        <v>20405.660252508009</v>
      </c>
    </row>
    <row r="177" spans="1:3">
      <c r="A177">
        <v>898031.04</v>
      </c>
      <c r="B177" s="1">
        <v>838807.06243540556</v>
      </c>
      <c r="C177" s="1">
        <v>59223.977564594476</v>
      </c>
    </row>
    <row r="178" spans="1:3">
      <c r="A178">
        <v>855341.28</v>
      </c>
      <c r="B178" s="1">
        <v>835954.94495679205</v>
      </c>
      <c r="C178" s="1">
        <v>19386.335043207975</v>
      </c>
    </row>
    <row r="179" spans="1:3">
      <c r="A179">
        <v>751393.88</v>
      </c>
      <c r="B179" s="1">
        <v>746584.24821501668</v>
      </c>
      <c r="C179" s="1">
        <v>4809.6317849833285</v>
      </c>
    </row>
    <row r="180" spans="1:3">
      <c r="A180">
        <v>761077.08</v>
      </c>
      <c r="B180" s="1">
        <v>784605.19691838813</v>
      </c>
      <c r="C180" s="1">
        <v>-23528.116918388172</v>
      </c>
    </row>
    <row r="181" spans="1:3">
      <c r="A181">
        <v>819660.59</v>
      </c>
      <c r="B181" s="1">
        <v>810009.4306419004</v>
      </c>
      <c r="C181" s="1">
        <v>9651.1593580995686</v>
      </c>
    </row>
    <row r="182" spans="1:3">
      <c r="A182">
        <v>681855.56</v>
      </c>
      <c r="B182" s="1">
        <v>683824.92677437363</v>
      </c>
      <c r="C182" s="1">
        <v>-1969.3667743735714</v>
      </c>
    </row>
    <row r="183" spans="1:3">
      <c r="A183">
        <v>678311.17</v>
      </c>
      <c r="B183" s="1">
        <v>638937.4674298371</v>
      </c>
      <c r="C183" s="1">
        <v>39373.702570162946</v>
      </c>
    </row>
    <row r="184" spans="1:3">
      <c r="A184">
        <v>765906.95</v>
      </c>
      <c r="B184" s="1">
        <v>670948.80291630805</v>
      </c>
      <c r="C184" s="1">
        <v>94958.147083691903</v>
      </c>
    </row>
    <row r="185" spans="1:3">
      <c r="A185">
        <v>712546.38</v>
      </c>
      <c r="B185" s="1">
        <v>746857.32073290972</v>
      </c>
      <c r="C185" s="1">
        <v>-34310.940732909716</v>
      </c>
    </row>
    <row r="186" spans="1:3">
      <c r="A186">
        <v>625993.82999999996</v>
      </c>
      <c r="B186" s="1">
        <v>596897.31263304362</v>
      </c>
      <c r="C186" s="1">
        <v>29096.517366956337</v>
      </c>
    </row>
    <row r="187" spans="1:3">
      <c r="A187">
        <v>550962.93000000005</v>
      </c>
      <c r="B187" s="1">
        <v>538638.21746220835</v>
      </c>
      <c r="C187" s="1">
        <v>12324.712537791696</v>
      </c>
    </row>
    <row r="188" spans="1:3">
      <c r="A188">
        <v>443275.59</v>
      </c>
      <c r="B188" s="1">
        <v>482863.5082367608</v>
      </c>
      <c r="C188" s="1">
        <v>-39587.918236760772</v>
      </c>
    </row>
    <row r="189" spans="1:3">
      <c r="A189">
        <v>554012.06999999995</v>
      </c>
      <c r="B189" s="1">
        <v>608595.98220333364</v>
      </c>
      <c r="C189" s="1">
        <v>-54583.91220333369</v>
      </c>
    </row>
    <row r="190" spans="1:3">
      <c r="A190">
        <v>643428.85</v>
      </c>
      <c r="B190" s="1">
        <v>684037.77455500804</v>
      </c>
      <c r="C190" s="1">
        <v>-40608.924555008067</v>
      </c>
    </row>
    <row r="191" spans="1:3">
      <c r="A191">
        <v>611924.27</v>
      </c>
      <c r="B191" s="1">
        <v>614424.84102699417</v>
      </c>
      <c r="C191" s="1">
        <v>-2500.5710269941483</v>
      </c>
    </row>
    <row r="192" spans="1:3">
      <c r="A192">
        <v>559422.02</v>
      </c>
      <c r="B192" s="1">
        <v>556013.47455387632</v>
      </c>
      <c r="C192" s="1">
        <v>3408.545446123695</v>
      </c>
    </row>
    <row r="193" spans="1:3">
      <c r="A193">
        <v>691447.43</v>
      </c>
      <c r="B193" s="1">
        <v>632108.79884324595</v>
      </c>
      <c r="C193" s="1">
        <v>59338.631156754098</v>
      </c>
    </row>
    <row r="194" spans="1:3">
      <c r="A194">
        <v>574066.61</v>
      </c>
      <c r="B194" s="1">
        <v>591380.00320375001</v>
      </c>
      <c r="C194" s="1">
        <v>-17313.39320375002</v>
      </c>
    </row>
    <row r="195" spans="1:3">
      <c r="A195">
        <v>578949.84</v>
      </c>
      <c r="B195" s="1">
        <v>613622.22424510424</v>
      </c>
      <c r="C195" s="1">
        <v>-34672.384245104273</v>
      </c>
    </row>
    <row r="196" spans="1:3">
      <c r="A196">
        <v>735786.64</v>
      </c>
      <c r="B196" s="1">
        <v>640448.26615643501</v>
      </c>
      <c r="C196" s="1">
        <v>95338.373843565001</v>
      </c>
    </row>
    <row r="197" spans="1:3">
      <c r="A197">
        <v>598904.9</v>
      </c>
      <c r="B197" s="1">
        <v>642776.3229265149</v>
      </c>
      <c r="C197" s="1">
        <v>-43871.422926514875</v>
      </c>
    </row>
    <row r="198" spans="1:3">
      <c r="A198">
        <v>787715.51</v>
      </c>
      <c r="B198" s="1">
        <v>721262.08685943228</v>
      </c>
      <c r="C198" s="1">
        <v>66453.423140567727</v>
      </c>
    </row>
    <row r="199" spans="1:3">
      <c r="A199">
        <v>607084.92000000004</v>
      </c>
      <c r="B199" s="1">
        <v>689144.53276453319</v>
      </c>
      <c r="C199" s="1">
        <v>-82059.612764533143</v>
      </c>
    </row>
    <row r="200" spans="1:3">
      <c r="A200">
        <v>650795.49</v>
      </c>
      <c r="B200" s="1">
        <v>692657.2516607634</v>
      </c>
      <c r="C200" s="1">
        <v>-41861.761660763412</v>
      </c>
    </row>
    <row r="201" spans="1:3">
      <c r="A201">
        <v>825060.52</v>
      </c>
      <c r="B201" s="1">
        <v>829662.03826118913</v>
      </c>
      <c r="C201" s="1">
        <v>-4601.5182611891069</v>
      </c>
    </row>
    <row r="202" spans="1:3">
      <c r="A202">
        <v>795464.47</v>
      </c>
      <c r="B202" s="1">
        <v>732609.0973855285</v>
      </c>
      <c r="C202" s="1">
        <v>62855.372614471475</v>
      </c>
    </row>
    <row r="203" spans="1:3">
      <c r="A203">
        <v>671868.59</v>
      </c>
      <c r="B203" s="1">
        <v>761208.6856972056</v>
      </c>
      <c r="C203" s="1">
        <v>-89340.09569720563</v>
      </c>
    </row>
    <row r="204" spans="1:3">
      <c r="A204">
        <v>675917.63</v>
      </c>
      <c r="B204" s="1">
        <v>749403.92404574878</v>
      </c>
      <c r="C204" s="1">
        <v>-73486.294045748771</v>
      </c>
    </row>
    <row r="205" spans="1:3">
      <c r="A205">
        <v>810446.53</v>
      </c>
      <c r="B205" s="1">
        <v>809827.70636299602</v>
      </c>
      <c r="C205" s="1">
        <v>618.82363700401038</v>
      </c>
    </row>
    <row r="206" spans="1:3">
      <c r="A206">
        <v>691288.19</v>
      </c>
      <c r="B206" s="1">
        <v>786844.68796813139</v>
      </c>
      <c r="C206" s="1">
        <v>-95556.497968131443</v>
      </c>
    </row>
    <row r="207" spans="1:3">
      <c r="A207">
        <v>946833.54</v>
      </c>
      <c r="B207" s="1">
        <v>953003.89622928388</v>
      </c>
      <c r="C207" s="1">
        <v>-6170.3562292838469</v>
      </c>
    </row>
    <row r="208" spans="1:3">
      <c r="A208">
        <v>761963.23</v>
      </c>
      <c r="B208" s="1">
        <v>781206.34789759549</v>
      </c>
      <c r="C208" s="1">
        <v>-19243.117897595512</v>
      </c>
    </row>
    <row r="209" spans="1:3">
      <c r="A209">
        <v>812152.6</v>
      </c>
      <c r="B209" s="1">
        <v>760409.50947608077</v>
      </c>
      <c r="C209" s="1">
        <v>51743.090523919207</v>
      </c>
    </row>
    <row r="210" spans="1:3">
      <c r="A210">
        <v>804975.5</v>
      </c>
      <c r="B210" s="1">
        <v>746899.96798323991</v>
      </c>
      <c r="C210" s="1">
        <v>58075.532016760088</v>
      </c>
    </row>
    <row r="211" spans="1:3">
      <c r="A211">
        <v>752321.72</v>
      </c>
      <c r="B211" s="1">
        <v>747220.86239103624</v>
      </c>
      <c r="C211" s="1">
        <v>5100.8576089637354</v>
      </c>
    </row>
    <row r="212" spans="1:3">
      <c r="A212">
        <v>836908.24</v>
      </c>
      <c r="B212" s="1">
        <v>814139.01909184409</v>
      </c>
      <c r="C212" s="1">
        <v>22769.220908155898</v>
      </c>
    </row>
    <row r="213" spans="1:3">
      <c r="A213">
        <v>674289.1</v>
      </c>
      <c r="B213" s="1">
        <v>677614.53789855144</v>
      </c>
      <c r="C213" s="1">
        <v>-3325.4378985514631</v>
      </c>
    </row>
    <row r="214" spans="1:3">
      <c r="A214">
        <v>622892.42000000004</v>
      </c>
      <c r="B214" s="1">
        <v>624543.32445762493</v>
      </c>
      <c r="C214" s="1">
        <v>-1650.9044576248853</v>
      </c>
    </row>
    <row r="215" spans="1:3">
      <c r="A215">
        <v>673348.56</v>
      </c>
      <c r="B215" s="1">
        <v>634574.2846093463</v>
      </c>
      <c r="C215" s="1">
        <v>38774.275390653755</v>
      </c>
    </row>
    <row r="216" spans="1:3">
      <c r="A216">
        <v>606278.30000000005</v>
      </c>
      <c r="B216" s="1">
        <v>593174.19277475402</v>
      </c>
      <c r="C216" s="1">
        <v>13104.107225246029</v>
      </c>
    </row>
    <row r="217" spans="1:3">
      <c r="A217">
        <v>712219.81</v>
      </c>
      <c r="B217" s="1">
        <v>703089.42226149573</v>
      </c>
      <c r="C217" s="1">
        <v>9130.3877385043306</v>
      </c>
    </row>
    <row r="218" spans="1:3">
      <c r="A218">
        <v>672670.54</v>
      </c>
      <c r="B218" s="1">
        <v>676907.24070303724</v>
      </c>
      <c r="C218" s="1">
        <v>-4236.7007030372042</v>
      </c>
    </row>
    <row r="219" spans="1:3">
      <c r="A219">
        <v>732667.92</v>
      </c>
      <c r="B219" s="1">
        <v>738442.55231018132</v>
      </c>
      <c r="C219" s="1">
        <v>-5774.6323101812741</v>
      </c>
    </row>
    <row r="220" spans="1:3">
      <c r="A220">
        <v>723531.4</v>
      </c>
      <c r="B220" s="1">
        <v>775969.12644883851</v>
      </c>
      <c r="C220" s="1">
        <v>-52437.726448838483</v>
      </c>
    </row>
    <row r="221" spans="1:3">
      <c r="A221">
        <v>641564.6</v>
      </c>
      <c r="B221" s="1">
        <v>642344.09284009505</v>
      </c>
      <c r="C221" s="1">
        <v>-779.49284009507392</v>
      </c>
    </row>
    <row r="222" spans="1:3">
      <c r="A222">
        <v>536545.49</v>
      </c>
      <c r="B222" s="1">
        <v>566921.77700756001</v>
      </c>
      <c r="C222" s="1">
        <v>-30376.287007560022</v>
      </c>
    </row>
    <row r="223" spans="1:3">
      <c r="A223">
        <v>527681.56000000006</v>
      </c>
      <c r="B223" s="1">
        <v>585143.59992532362</v>
      </c>
      <c r="C223" s="1">
        <v>-57462.039925323566</v>
      </c>
    </row>
    <row r="224" spans="1:3">
      <c r="A224">
        <v>570963.31000000006</v>
      </c>
      <c r="B224" s="1">
        <v>639910.45037525939</v>
      </c>
      <c r="C224" s="1">
        <v>-68947.140375259332</v>
      </c>
    </row>
    <row r="225" spans="1:3">
      <c r="A225">
        <v>870937.4</v>
      </c>
      <c r="B225" s="1">
        <v>828320.67427446204</v>
      </c>
      <c r="C225" s="1">
        <v>42616.725725537981</v>
      </c>
    </row>
    <row r="226" spans="1:3">
      <c r="A226">
        <v>596969.27</v>
      </c>
      <c r="B226" s="1">
        <v>654905.40339090186</v>
      </c>
      <c r="C226" s="1">
        <v>-57936.133390901843</v>
      </c>
    </row>
    <row r="227" spans="1:3">
      <c r="A227">
        <v>658072.14</v>
      </c>
      <c r="B227" s="1">
        <v>580210.62904393848</v>
      </c>
      <c r="C227" s="1">
        <v>77861.510956061538</v>
      </c>
    </row>
    <row r="228" spans="1:3">
      <c r="A228">
        <v>723305.11</v>
      </c>
      <c r="B228" s="1">
        <v>632214.09399007179</v>
      </c>
      <c r="C228" s="1">
        <v>91091.016009928193</v>
      </c>
    </row>
    <row r="229" spans="1:3">
      <c r="A229">
        <v>640666.53</v>
      </c>
      <c r="B229" s="1">
        <v>638588.03458383039</v>
      </c>
      <c r="C229" s="1">
        <v>2078.4954161696369</v>
      </c>
    </row>
    <row r="230" spans="1:3">
      <c r="A230">
        <v>670629.48</v>
      </c>
      <c r="B230" s="1">
        <v>644995.96791167522</v>
      </c>
      <c r="C230" s="1">
        <v>25633.512088324758</v>
      </c>
    </row>
    <row r="231" spans="1:3">
      <c r="A231">
        <v>721079.35</v>
      </c>
      <c r="B231" s="1">
        <v>791949.13155578775</v>
      </c>
      <c r="C231" s="1">
        <v>-70869.781555787777</v>
      </c>
    </row>
    <row r="232" spans="1:3">
      <c r="A232">
        <v>810355.02</v>
      </c>
      <c r="B232" s="1">
        <v>825218.18439534365</v>
      </c>
      <c r="C232" s="1">
        <v>-14863.164395343629</v>
      </c>
    </row>
    <row r="233" spans="1:3">
      <c r="A233">
        <v>761919.25</v>
      </c>
      <c r="B233" s="1">
        <v>799421.38416474068</v>
      </c>
      <c r="C233" s="1">
        <v>-37502.134164740681</v>
      </c>
    </row>
    <row r="234" spans="1:3">
      <c r="A234">
        <v>737070.18</v>
      </c>
      <c r="B234" s="1">
        <v>748808.86316328694</v>
      </c>
      <c r="C234" s="1">
        <v>-11738.683163286885</v>
      </c>
    </row>
    <row r="235" spans="1:3">
      <c r="A235">
        <v>776992.93</v>
      </c>
      <c r="B235" s="1">
        <v>767810.66505392594</v>
      </c>
      <c r="C235" s="1">
        <v>9182.2649460741086</v>
      </c>
    </row>
    <row r="236" spans="1:3">
      <c r="A236">
        <v>676337.41</v>
      </c>
      <c r="B236" s="1">
        <v>666217.44584812038</v>
      </c>
      <c r="C236" s="1">
        <v>10119.964151879656</v>
      </c>
    </row>
    <row r="237" spans="1:3">
      <c r="A237">
        <v>828219.67</v>
      </c>
      <c r="B237" s="1">
        <v>836717.94070202741</v>
      </c>
      <c r="C237" s="1">
        <v>-8498.2707020273665</v>
      </c>
    </row>
    <row r="238" spans="1:3">
      <c r="A238">
        <v>763159.92</v>
      </c>
      <c r="B238" s="1">
        <v>747366.96316678077</v>
      </c>
      <c r="C238" s="1">
        <v>15792.956833219272</v>
      </c>
    </row>
    <row r="239" spans="1:3">
      <c r="A239">
        <v>802001.68</v>
      </c>
      <c r="B239" s="1">
        <v>785272.029142807</v>
      </c>
      <c r="C239" s="1">
        <v>16729.650857193046</v>
      </c>
    </row>
    <row r="240" spans="1:3">
      <c r="A240">
        <v>750471.34</v>
      </c>
      <c r="B240" s="1">
        <v>745441.90037384373</v>
      </c>
      <c r="C240" s="1">
        <v>5029.439626156236</v>
      </c>
    </row>
    <row r="241" spans="1:3">
      <c r="A241">
        <v>679230.86</v>
      </c>
      <c r="B241" s="1">
        <v>710484.00610875688</v>
      </c>
      <c r="C241" s="1">
        <v>-31253.14610875689</v>
      </c>
    </row>
    <row r="242" spans="1:3">
      <c r="A242">
        <v>679888.74</v>
      </c>
      <c r="B242" s="1">
        <v>694440.20112854382</v>
      </c>
      <c r="C242" s="1">
        <v>-14551.46112854383</v>
      </c>
    </row>
    <row r="243" spans="1:3">
      <c r="A243">
        <v>642751.42000000004</v>
      </c>
      <c r="B243" s="1">
        <v>674246.00259178202</v>
      </c>
      <c r="C243" s="1">
        <v>-31494.582591781975</v>
      </c>
    </row>
    <row r="244" spans="1:3">
      <c r="A244">
        <v>647953.78</v>
      </c>
      <c r="B244" s="1">
        <v>653357.81783487485</v>
      </c>
      <c r="C244" s="1">
        <v>-5404.03783487482</v>
      </c>
    </row>
    <row r="245" spans="1:3">
      <c r="A245">
        <v>729440.45</v>
      </c>
      <c r="B245" s="1">
        <v>738467.32542787911</v>
      </c>
      <c r="C245" s="1">
        <v>-9026.8754278791603</v>
      </c>
    </row>
    <row r="246" spans="1:3">
      <c r="A246">
        <v>764949</v>
      </c>
      <c r="B246" s="1">
        <v>738687.47878210503</v>
      </c>
      <c r="C246" s="1">
        <v>26261.521217894973</v>
      </c>
    </row>
    <row r="247" spans="1:3">
      <c r="A247">
        <v>799046.94</v>
      </c>
      <c r="B247" s="1">
        <v>720304.88607373158</v>
      </c>
      <c r="C247" s="1">
        <v>78742.05392626836</v>
      </c>
    </row>
    <row r="248" spans="1:3">
      <c r="A248">
        <v>720079.54</v>
      </c>
      <c r="B248" s="1">
        <v>693048.30207447964</v>
      </c>
      <c r="C248" s="1">
        <v>27031.2379255204</v>
      </c>
    </row>
    <row r="249" spans="1:3">
      <c r="A249">
        <v>612390.14</v>
      </c>
      <c r="B249" s="1">
        <v>653142.64668346941</v>
      </c>
      <c r="C249" s="1">
        <v>-40752.506683469401</v>
      </c>
    </row>
    <row r="250" spans="1:3">
      <c r="A250">
        <v>840108.12</v>
      </c>
      <c r="B250" s="1">
        <v>754915.45724315022</v>
      </c>
      <c r="C250" s="1">
        <v>85192.662756849779</v>
      </c>
    </row>
    <row r="251" spans="1:3">
      <c r="A251">
        <v>697888.09</v>
      </c>
      <c r="B251" s="1">
        <v>693143.89750823379</v>
      </c>
      <c r="C251" s="1">
        <v>4744.1924917661818</v>
      </c>
    </row>
    <row r="252" spans="1:3">
      <c r="A252">
        <v>746115.59</v>
      </c>
      <c r="B252" s="1">
        <v>746519.50578400423</v>
      </c>
      <c r="C252" s="1">
        <v>-403.91578400426079</v>
      </c>
    </row>
    <row r="253" spans="1:3">
      <c r="A253">
        <v>776110.32</v>
      </c>
      <c r="B253" s="1">
        <v>713084.66993307229</v>
      </c>
      <c r="C253" s="1">
        <v>63025.650066927657</v>
      </c>
    </row>
    <row r="254" spans="1:3">
      <c r="A254">
        <v>528852.62</v>
      </c>
      <c r="B254" s="1">
        <v>516056.04136346694</v>
      </c>
      <c r="C254" s="1">
        <v>12796.578636533057</v>
      </c>
    </row>
    <row r="255" spans="1:3">
      <c r="A255">
        <v>677640.65</v>
      </c>
      <c r="B255" s="1">
        <v>620656.97443458776</v>
      </c>
      <c r="C255" s="1">
        <v>56983.675565412268</v>
      </c>
    </row>
    <row r="256" spans="1:3">
      <c r="A256">
        <v>636613.23</v>
      </c>
      <c r="B256" s="1">
        <v>599391.1442968722</v>
      </c>
      <c r="C256" s="1">
        <v>37222.085703127785</v>
      </c>
    </row>
    <row r="257" spans="1:3">
      <c r="A257">
        <v>708985.19</v>
      </c>
      <c r="B257" s="1">
        <v>710627.96384348825</v>
      </c>
      <c r="C257" s="1">
        <v>-1642.7738434883067</v>
      </c>
    </row>
    <row r="258" spans="1:3">
      <c r="A258">
        <v>767792.94</v>
      </c>
      <c r="B258" s="1">
        <v>754240.821392974</v>
      </c>
      <c r="C258" s="1">
        <v>13552.118607025943</v>
      </c>
    </row>
    <row r="259" spans="1:3">
      <c r="A259">
        <v>745580.51</v>
      </c>
      <c r="B259" s="1">
        <v>729565.45277813775</v>
      </c>
      <c r="C259" s="1">
        <v>16015.057221862255</v>
      </c>
    </row>
    <row r="260" spans="1:3">
      <c r="A260">
        <v>762328.31</v>
      </c>
      <c r="B260" s="1">
        <v>717817.55787674431</v>
      </c>
      <c r="C260" s="1">
        <v>44510.752123255748</v>
      </c>
    </row>
    <row r="261" spans="1:3">
      <c r="A261">
        <v>660633.99</v>
      </c>
      <c r="B261" s="1">
        <v>732199.44158449047</v>
      </c>
      <c r="C261" s="1">
        <v>-71565.451584490482</v>
      </c>
    </row>
    <row r="262" spans="1:3">
      <c r="A262">
        <v>739374.56</v>
      </c>
      <c r="B262" s="1">
        <v>702609.34396197554</v>
      </c>
      <c r="C262" s="1">
        <v>36765.216038024519</v>
      </c>
    </row>
    <row r="263" spans="1:3">
      <c r="A263">
        <v>799756.46</v>
      </c>
      <c r="B263" s="1">
        <v>819240.34465105843</v>
      </c>
      <c r="C263" s="1">
        <v>-19483.88465105847</v>
      </c>
    </row>
    <row r="264" spans="1:3">
      <c r="A264">
        <v>593343</v>
      </c>
      <c r="B264" s="1">
        <v>689617.44776358327</v>
      </c>
      <c r="C264" s="1">
        <v>-96274.447763583274</v>
      </c>
    </row>
    <row r="265" spans="1:3">
      <c r="A265">
        <v>645039.97</v>
      </c>
      <c r="B265" s="1">
        <v>646037.17313367198</v>
      </c>
      <c r="C265" s="1">
        <v>-997.20313367201015</v>
      </c>
    </row>
    <row r="266" spans="1:3">
      <c r="A266">
        <v>561597.32999999996</v>
      </c>
      <c r="B266" s="1">
        <v>528912.02750716079</v>
      </c>
      <c r="C266" s="1">
        <v>32685.302492839168</v>
      </c>
    </row>
    <row r="267" spans="1:3">
      <c r="A267">
        <v>635837.74</v>
      </c>
      <c r="B267" s="1">
        <v>645354.29498660122</v>
      </c>
      <c r="C267" s="1">
        <v>-9516.5549866012298</v>
      </c>
    </row>
    <row r="268" spans="1:3">
      <c r="A268">
        <v>686737.87</v>
      </c>
      <c r="B268" s="1">
        <v>638875.78347237408</v>
      </c>
      <c r="C268" s="1">
        <v>47862.086527625914</v>
      </c>
    </row>
    <row r="269" spans="1:3">
      <c r="A269">
        <v>673076.34</v>
      </c>
      <c r="B269" s="1">
        <v>741285.7140244334</v>
      </c>
      <c r="C269" s="1">
        <v>-68209.374024433433</v>
      </c>
    </row>
    <row r="270" spans="1:3">
      <c r="A270">
        <v>738548.42</v>
      </c>
      <c r="B270" s="1">
        <v>693798.32474052219</v>
      </c>
      <c r="C270" s="1">
        <v>44750.09525947785</v>
      </c>
    </row>
    <row r="271" spans="1:3">
      <c r="A271">
        <v>756619.77</v>
      </c>
      <c r="B271" s="1">
        <v>751721.30249828333</v>
      </c>
      <c r="C271" s="1">
        <v>4898.4675017166883</v>
      </c>
    </row>
    <row r="272" spans="1:3">
      <c r="A272">
        <v>761122.42</v>
      </c>
      <c r="B272" s="1">
        <v>769325.43287935271</v>
      </c>
      <c r="C272" s="1">
        <v>-8203.0128793526674</v>
      </c>
    </row>
    <row r="273" spans="1:3">
      <c r="A273">
        <v>524899.56999999995</v>
      </c>
      <c r="B273" s="1">
        <v>584790.35466963612</v>
      </c>
      <c r="C273" s="1">
        <v>-59890.784669636167</v>
      </c>
    </row>
    <row r="274" spans="1:3">
      <c r="A274">
        <v>555557.77</v>
      </c>
      <c r="B274" s="1">
        <v>583181.86607463902</v>
      </c>
      <c r="C274" s="1">
        <v>-27624.096074639005</v>
      </c>
    </row>
    <row r="275" spans="1:3">
      <c r="A275">
        <v>714083.68</v>
      </c>
      <c r="B275" s="1">
        <v>665753.41444509884</v>
      </c>
      <c r="C275" s="1">
        <v>48330.265554901212</v>
      </c>
    </row>
    <row r="276" spans="1:3">
      <c r="A276">
        <v>497439.82</v>
      </c>
      <c r="B276" s="1">
        <v>520057.17439622927</v>
      </c>
      <c r="C276" s="1">
        <v>-22617.354396229261</v>
      </c>
    </row>
    <row r="277" spans="1:3">
      <c r="A277">
        <v>636775.66</v>
      </c>
      <c r="B277" s="1">
        <v>638627.21812072396</v>
      </c>
      <c r="C277" s="1">
        <v>-1851.5581207239302</v>
      </c>
    </row>
    <row r="278" spans="1:3">
      <c r="A278">
        <v>633009.53</v>
      </c>
      <c r="B278" s="1">
        <v>618965.18103425542</v>
      </c>
      <c r="C278" s="1">
        <v>14044.348965744604</v>
      </c>
    </row>
    <row r="279" spans="1:3">
      <c r="A279">
        <v>609949</v>
      </c>
      <c r="B279" s="1">
        <v>586096.63545418205</v>
      </c>
      <c r="C279" s="1">
        <v>23852.364545817953</v>
      </c>
    </row>
    <row r="280" spans="1:3">
      <c r="A280">
        <v>548103.69999999995</v>
      </c>
      <c r="B280" s="1">
        <v>567270.16774452501</v>
      </c>
      <c r="C280" s="1">
        <v>-19166.467744525056</v>
      </c>
    </row>
    <row r="281" spans="1:3">
      <c r="A281">
        <v>729424.42</v>
      </c>
      <c r="B281" s="1">
        <v>748023.13997057918</v>
      </c>
      <c r="C281" s="1">
        <v>-18598.719970579143</v>
      </c>
    </row>
    <row r="282" spans="1:3">
      <c r="A282">
        <v>696261.49</v>
      </c>
      <c r="B282" s="1">
        <v>723585.40699064697</v>
      </c>
      <c r="C282" s="1">
        <v>-27323.916990646976</v>
      </c>
    </row>
    <row r="283" spans="1:3">
      <c r="A283">
        <v>813316.71</v>
      </c>
      <c r="B283" s="1">
        <v>726638.67833628948</v>
      </c>
      <c r="C283" s="1">
        <v>86678.031663710484</v>
      </c>
    </row>
    <row r="284" spans="1:3">
      <c r="A284">
        <v>702068.92</v>
      </c>
      <c r="B284" s="1">
        <v>682722.19526955357</v>
      </c>
      <c r="C284" s="1">
        <v>19346.724730446469</v>
      </c>
    </row>
    <row r="285" spans="1:3">
      <c r="A285">
        <v>546223.69999999995</v>
      </c>
      <c r="B285" s="1">
        <v>585412.3816452868</v>
      </c>
      <c r="C285" s="1">
        <v>-39188.681645286852</v>
      </c>
    </row>
    <row r="286" spans="1:3">
      <c r="A286">
        <v>533121.26</v>
      </c>
      <c r="B286" s="1">
        <v>522217.49527542322</v>
      </c>
      <c r="C286" s="1">
        <v>10903.764724576788</v>
      </c>
    </row>
    <row r="287" spans="1:3">
      <c r="A287">
        <v>498970.32</v>
      </c>
      <c r="B287" s="1">
        <v>506955.57890701533</v>
      </c>
      <c r="C287" s="1">
        <v>-7985.258907015319</v>
      </c>
    </row>
    <row r="288" spans="1:3">
      <c r="A288">
        <v>487738.26</v>
      </c>
      <c r="B288" s="1">
        <v>486339.24824292894</v>
      </c>
      <c r="C288" s="1">
        <v>1399.0117570710718</v>
      </c>
    </row>
    <row r="289" spans="1:3">
      <c r="A289">
        <v>668459.37</v>
      </c>
      <c r="B289" s="1">
        <v>658793.38652170007</v>
      </c>
      <c r="C289" s="1">
        <v>9665.9834782999242</v>
      </c>
    </row>
    <row r="290" spans="1:3">
      <c r="A290">
        <v>763162.45</v>
      </c>
      <c r="B290" s="1">
        <v>658888.81190134445</v>
      </c>
      <c r="C290" s="1">
        <v>104273.6380986555</v>
      </c>
    </row>
    <row r="291" spans="1:3">
      <c r="A291">
        <v>599017.32999999996</v>
      </c>
      <c r="B291" s="1">
        <v>614479.92930355505</v>
      </c>
      <c r="C291" s="1">
        <v>-15462.599303555093</v>
      </c>
    </row>
    <row r="292" spans="1:3">
      <c r="A292">
        <v>401582.58</v>
      </c>
      <c r="B292" s="1">
        <v>474096.8557314761</v>
      </c>
      <c r="C292" s="1">
        <v>-72514.275731476082</v>
      </c>
    </row>
    <row r="293" spans="1:3">
      <c r="A293">
        <v>703812.99</v>
      </c>
      <c r="B293" s="1">
        <v>729633.25349644735</v>
      </c>
      <c r="C293" s="1">
        <v>-25820.263496447355</v>
      </c>
    </row>
    <row r="294" spans="1:3">
      <c r="A294">
        <v>724346.73</v>
      </c>
      <c r="B294" s="1">
        <v>747531.88344055414</v>
      </c>
      <c r="C294" s="1">
        <v>-23185.153440554161</v>
      </c>
    </row>
    <row r="295" spans="1:3">
      <c r="A295">
        <v>730890.01</v>
      </c>
      <c r="B295" s="1">
        <v>744139.42337389989</v>
      </c>
      <c r="C295" s="1">
        <v>-13249.413373899879</v>
      </c>
    </row>
    <row r="296" spans="1:3">
      <c r="A296">
        <v>780580.95</v>
      </c>
      <c r="B296" s="1">
        <v>717408.05973374052</v>
      </c>
      <c r="C296" s="1">
        <v>63172.890266259434</v>
      </c>
    </row>
    <row r="297" spans="1:3">
      <c r="A297">
        <v>727957.48</v>
      </c>
      <c r="B297" s="1">
        <v>665276.70746076317</v>
      </c>
      <c r="C297" s="1">
        <v>62680.772539236816</v>
      </c>
    </row>
    <row r="298" spans="1:3">
      <c r="A298">
        <v>538376</v>
      </c>
      <c r="B298" s="1">
        <v>630677.90438482468</v>
      </c>
      <c r="C298" s="1">
        <v>-92301.90438482468</v>
      </c>
    </row>
    <row r="299" spans="1:3">
      <c r="A299">
        <v>665342.49</v>
      </c>
      <c r="B299" s="1">
        <v>620157.69449510251</v>
      </c>
      <c r="C299" s="1">
        <v>45184.795504897484</v>
      </c>
    </row>
    <row r="300" spans="1:3">
      <c r="A300">
        <v>651164.18000000005</v>
      </c>
      <c r="B300" s="1">
        <v>667312.38676924037</v>
      </c>
      <c r="C300" s="1">
        <v>-16148.206769240322</v>
      </c>
    </row>
    <row r="301" spans="1:3">
      <c r="A301">
        <v>628538.30000000005</v>
      </c>
      <c r="B301" s="1">
        <v>646021.23419442365</v>
      </c>
      <c r="C301" s="1">
        <v>-17482.934194423608</v>
      </c>
    </row>
    <row r="302" spans="1:3">
      <c r="A302">
        <v>536524.84</v>
      </c>
      <c r="B302" s="1">
        <v>601738.9532850954</v>
      </c>
      <c r="C302" s="1">
        <v>-65214.113285095431</v>
      </c>
    </row>
    <row r="303" spans="1:3">
      <c r="A303">
        <v>621677.30000000005</v>
      </c>
      <c r="B303" s="1">
        <v>641814.54397016007</v>
      </c>
      <c r="C303" s="1">
        <v>-20137.243970160023</v>
      </c>
    </row>
    <row r="304" spans="1:3">
      <c r="A304">
        <v>702052.47</v>
      </c>
      <c r="B304" s="1">
        <v>680360.70762554102</v>
      </c>
      <c r="C304" s="1">
        <v>21691.762374458951</v>
      </c>
    </row>
    <row r="305" spans="1:3">
      <c r="A305">
        <v>712375.77</v>
      </c>
      <c r="B305" s="1">
        <v>655999.73278851784</v>
      </c>
      <c r="C305" s="1">
        <v>56376.03721148218</v>
      </c>
    </row>
    <row r="306" spans="1:3">
      <c r="A306">
        <v>844710.67</v>
      </c>
      <c r="B306" s="1">
        <v>793757.94204621867</v>
      </c>
      <c r="C306" s="1">
        <v>50952.727953781374</v>
      </c>
    </row>
    <row r="307" spans="1:3">
      <c r="A307">
        <v>620264.19999999995</v>
      </c>
      <c r="B307" s="1">
        <v>660032.89400966454</v>
      </c>
      <c r="C307" s="1">
        <v>-39768.694009664585</v>
      </c>
    </row>
    <row r="308" spans="1:3">
      <c r="A308">
        <v>536845.42000000004</v>
      </c>
      <c r="B308" s="1">
        <v>526889.81429797958</v>
      </c>
      <c r="C308" s="1">
        <v>9955.6057020204607</v>
      </c>
    </row>
    <row r="309" spans="1:3">
      <c r="A309">
        <v>726776.22</v>
      </c>
      <c r="B309" s="1">
        <v>737829.1918873284</v>
      </c>
      <c r="C309" s="1">
        <v>-11052.971887328429</v>
      </c>
    </row>
    <row r="310" spans="1:3" ht="14.4" thickBot="1">
      <c r="A310">
        <v>559660.84</v>
      </c>
      <c r="B310" s="5">
        <v>607915.49511336279</v>
      </c>
      <c r="C310" s="5">
        <v>-48254.655113362824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72C31-664E-41F7-B04C-DC2BE84A4035}">
  <dimension ref="A1:E10"/>
  <sheetViews>
    <sheetView tabSelected="1" workbookViewId="0">
      <selection activeCell="E14" sqref="E14"/>
    </sheetView>
  </sheetViews>
  <sheetFormatPr defaultRowHeight="13.8"/>
  <cols>
    <col min="1" max="1" width="23.296875" bestFit="1" customWidth="1"/>
    <col min="2" max="2" width="47.796875" bestFit="1" customWidth="1"/>
    <col min="3" max="3" width="9.59765625" bestFit="1" customWidth="1"/>
    <col min="4" max="4" width="18.59765625" bestFit="1" customWidth="1"/>
    <col min="5" max="5" width="19.296875" bestFit="1" customWidth="1"/>
  </cols>
  <sheetData>
    <row r="1" spans="1:5" ht="22.8">
      <c r="A1" s="11"/>
      <c r="B1" s="12" t="s">
        <v>150</v>
      </c>
    </row>
    <row r="3" spans="1:5">
      <c r="A3" s="13" t="s">
        <v>151</v>
      </c>
      <c r="B3" s="13" t="s">
        <v>152</v>
      </c>
      <c r="C3" s="13" t="s">
        <v>153</v>
      </c>
      <c r="D3" s="13" t="s">
        <v>154</v>
      </c>
      <c r="E3" s="13" t="s">
        <v>155</v>
      </c>
    </row>
    <row r="4" spans="1:5">
      <c r="A4" s="14" t="s">
        <v>159</v>
      </c>
      <c r="B4" s="14" t="s">
        <v>4</v>
      </c>
      <c r="C4" s="14">
        <v>0.157</v>
      </c>
      <c r="D4" s="14">
        <v>0.154</v>
      </c>
      <c r="E4" s="14" t="s">
        <v>162</v>
      </c>
    </row>
    <row r="5" spans="1:5">
      <c r="A5" s="14" t="s">
        <v>160</v>
      </c>
      <c r="B5" s="14" t="s">
        <v>5</v>
      </c>
      <c r="C5" s="14">
        <v>0.73399999999999999</v>
      </c>
      <c r="D5" s="14">
        <v>0.73299999999999998</v>
      </c>
      <c r="E5" s="14" t="s">
        <v>163</v>
      </c>
    </row>
    <row r="6" spans="1:5">
      <c r="A6" s="14" t="s">
        <v>161</v>
      </c>
      <c r="B6" s="14" t="s">
        <v>156</v>
      </c>
      <c r="C6" s="14">
        <v>0.79300000000000004</v>
      </c>
      <c r="D6" s="14">
        <v>0.78900000000000003</v>
      </c>
      <c r="E6" s="14" t="s">
        <v>157</v>
      </c>
    </row>
    <row r="9" spans="1:5">
      <c r="A9" s="15" t="s">
        <v>158</v>
      </c>
      <c r="B9" s="15"/>
      <c r="C9" s="15"/>
      <c r="D9" s="15"/>
      <c r="E9" s="15"/>
    </row>
    <row r="10" spans="1:5" ht="55.2" customHeight="1">
      <c r="A10" s="15"/>
      <c r="B10" s="15"/>
      <c r="C10" s="15"/>
      <c r="D10" s="15"/>
      <c r="E10" s="15"/>
    </row>
  </sheetData>
  <mergeCells count="1">
    <mergeCell ref="A9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store_performance</vt:lpstr>
      <vt:lpstr>data_dictionary</vt:lpstr>
      <vt:lpstr>original_dataset</vt:lpstr>
      <vt:lpstr>cleaned_data</vt:lpstr>
      <vt:lpstr>Dummy Variable Creation</vt:lpstr>
      <vt:lpstr>simple_regression_outputs</vt:lpstr>
      <vt:lpstr>multiple_regression_outputs</vt:lpstr>
      <vt:lpstr>Prediction and residual calcula</vt:lpstr>
      <vt:lpstr>Model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2026-06-26T13:46:09Z</dcterms:modified>
</cp:coreProperties>
</file>